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ralph\Documents\Data Analytics Course\Generation\How to create a Portfolio\Submission\Excel\"/>
    </mc:Choice>
  </mc:AlternateContent>
  <xr:revisionPtr revIDLastSave="0" documentId="13_ncr:1_{4BD818DE-89DC-4783-BC4D-1362CA7B9739}" xr6:coauthVersionLast="47" xr6:coauthVersionMax="47" xr10:uidLastSave="{00000000-0000-0000-0000-000000000000}"/>
  <bookViews>
    <workbookView xWindow="-110" yWindow="-110" windowWidth="19420" windowHeight="11500" activeTab="3" xr2:uid="{F62D5CE3-A328-4CE5-AF96-1BA08FFE46AB}"/>
  </bookViews>
  <sheets>
    <sheet name="practice dataset excel practica" sheetId="2" r:id="rId1"/>
    <sheet name="Correlation" sheetId="4" r:id="rId2"/>
    <sheet name="PivotTable" sheetId="1" r:id="rId3"/>
    <sheet name="Dashboard" sheetId="3" r:id="rId4"/>
  </sheets>
  <definedNames>
    <definedName name="ExternalData_1" localSheetId="0" hidden="1">'practice dataset excel practica'!$A$1:$F$96</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0" i="4" l="1"/>
  <c r="D68" i="4"/>
  <c r="D46" i="4"/>
  <c r="D24" i="4"/>
  <c r="D2" i="4"/>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76D8AD-56D5-4865-B475-668AEA65B447}" keepAlive="1" name="Query - practice dataset excel practical task" description="Connection to the 'practice dataset excel practical task' query in the workbook." type="5" refreshedVersion="8" background="1" saveData="1">
    <dbPr connection="Provider=Microsoft.Mashup.OleDb.1;Data Source=$Workbook$;Location=&quot;practice dataset excel practical task&quot;;Extended Properties=&quot;&quot;" command="SELECT * FROM [practice dataset excel practical task]"/>
  </connection>
</connections>
</file>

<file path=xl/sharedStrings.xml><?xml version="1.0" encoding="utf-8"?>
<sst xmlns="http://schemas.openxmlformats.org/spreadsheetml/2006/main" count="266" uniqueCount="29">
  <si>
    <t>Date</t>
  </si>
  <si>
    <t>Region</t>
  </si>
  <si>
    <t>Berry_Type</t>
  </si>
  <si>
    <t>Average_Weight_kg</t>
  </si>
  <si>
    <t>Price_per_kg</t>
  </si>
  <si>
    <t>Sales_Volume_kg</t>
  </si>
  <si>
    <t>North</t>
  </si>
  <si>
    <t>Red</t>
  </si>
  <si>
    <t>South</t>
  </si>
  <si>
    <t>Black</t>
  </si>
  <si>
    <t>East</t>
  </si>
  <si>
    <t>West</t>
  </si>
  <si>
    <t>Central</t>
  </si>
  <si>
    <t>Row Labels</t>
  </si>
  <si>
    <t>Grand Total</t>
  </si>
  <si>
    <t>2023</t>
  </si>
  <si>
    <t>2024</t>
  </si>
  <si>
    <t>Column Labels</t>
  </si>
  <si>
    <t>Sum of Sales_Volume_kg</t>
  </si>
  <si>
    <t>Qtr1</t>
  </si>
  <si>
    <t>Qtr2</t>
  </si>
  <si>
    <t>Qtr3</t>
  </si>
  <si>
    <t>Qtr4</t>
  </si>
  <si>
    <t>Sales</t>
  </si>
  <si>
    <t>Average Weight</t>
  </si>
  <si>
    <t>Sales volume</t>
  </si>
  <si>
    <t>Sales Volume</t>
  </si>
  <si>
    <t>Correlation</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</si>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</sst>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Correlation!$A$25:$A$43</c:f>
              <c:numCache>
                <c:formatCode>General</c:formatCode>
                <c:ptCount val="19"/>
                <c:pt idx="0">
                  <c:v>0.39</c:v>
                </c:pt>
                <c:pt idx="1">
                  <c:v>0.35</c:v>
                </c:pt>
                <c:pt idx="2">
                  <c:v>0.31</c:v>
                </c:pt>
                <c:pt idx="3">
                  <c:v>0.34</c:v>
                </c:pt>
                <c:pt idx="4">
                  <c:v>0.32</c:v>
                </c:pt>
                <c:pt idx="5">
                  <c:v>0.39</c:v>
                </c:pt>
                <c:pt idx="6">
                  <c:v>0.4</c:v>
                </c:pt>
                <c:pt idx="7">
                  <c:v>0.28000000000000003</c:v>
                </c:pt>
                <c:pt idx="8">
                  <c:v>0.36</c:v>
                </c:pt>
                <c:pt idx="9">
                  <c:v>0.42</c:v>
                </c:pt>
                <c:pt idx="10">
                  <c:v>0.43</c:v>
                </c:pt>
                <c:pt idx="11">
                  <c:v>0.4</c:v>
                </c:pt>
                <c:pt idx="12">
                  <c:v>0.31</c:v>
                </c:pt>
                <c:pt idx="13">
                  <c:v>0.37</c:v>
                </c:pt>
                <c:pt idx="14">
                  <c:v>0.28999999999999998</c:v>
                </c:pt>
                <c:pt idx="15">
                  <c:v>0.31</c:v>
                </c:pt>
                <c:pt idx="16">
                  <c:v>0.32</c:v>
                </c:pt>
                <c:pt idx="17">
                  <c:v>0.33</c:v>
                </c:pt>
                <c:pt idx="18">
                  <c:v>0.33</c:v>
                </c:pt>
              </c:numCache>
            </c:numRef>
          </c:xVal>
          <c:yVal>
            <c:numRef>
              <c:f>Correlation!$B$25:$B$43</c:f>
              <c:numCache>
                <c:formatCode>General</c:formatCode>
                <c:ptCount val="19"/>
                <c:pt idx="0">
                  <c:v>120</c:v>
                </c:pt>
                <c:pt idx="1">
                  <c:v>140</c:v>
                </c:pt>
                <c:pt idx="2">
                  <c:v>130</c:v>
                </c:pt>
                <c:pt idx="3">
                  <c:v>145</c:v>
                </c:pt>
                <c:pt idx="4">
                  <c:v>170</c:v>
                </c:pt>
                <c:pt idx="5">
                  <c:v>120</c:v>
                </c:pt>
                <c:pt idx="6">
                  <c:v>150</c:v>
                </c:pt>
                <c:pt idx="7">
                  <c:v>110</c:v>
                </c:pt>
                <c:pt idx="8">
                  <c:v>170</c:v>
                </c:pt>
                <c:pt idx="9">
                  <c:v>170</c:v>
                </c:pt>
                <c:pt idx="10">
                  <c:v>145</c:v>
                </c:pt>
                <c:pt idx="11">
                  <c:v>200</c:v>
                </c:pt>
                <c:pt idx="12">
                  <c:v>190</c:v>
                </c:pt>
                <c:pt idx="13">
                  <c:v>120</c:v>
                </c:pt>
                <c:pt idx="14">
                  <c:v>160</c:v>
                </c:pt>
                <c:pt idx="15">
                  <c:v>140</c:v>
                </c:pt>
                <c:pt idx="16">
                  <c:v>160</c:v>
                </c:pt>
                <c:pt idx="17">
                  <c:v>210</c:v>
                </c:pt>
                <c:pt idx="18">
                  <c:v>170</c:v>
                </c:pt>
              </c:numCache>
            </c:numRef>
          </c:yVal>
          <c:smooth val="0"/>
          <c:extLst>
            <c:ext xmlns:c16="http://schemas.microsoft.com/office/drawing/2014/chart" uri="{C3380CC4-5D6E-409C-BE32-E72D297353CC}">
              <c16:uniqueId val="{00000000-D8BE-425E-A8B2-BA2E329FF555}"/>
            </c:ext>
          </c:extLst>
        </c:ser>
        <c:dLbls>
          <c:showLegendKey val="0"/>
          <c:showVal val="0"/>
          <c:showCatName val="0"/>
          <c:showSerName val="0"/>
          <c:showPercent val="0"/>
          <c:showBubbleSize val="0"/>
        </c:dLbls>
        <c:axId val="1864537135"/>
        <c:axId val="1864422415"/>
      </c:scatterChart>
      <c:valAx>
        <c:axId val="18645371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Weight (kg)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22415"/>
        <c:crosses val="autoZero"/>
        <c:crossBetween val="midCat"/>
      </c:valAx>
      <c:valAx>
        <c:axId val="186442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a:t>
                </a:r>
                <a:r>
                  <a:rPr lang="en-GB" baseline="0"/>
                  <a:t> Volume (kg)</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3713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North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Correlation!$A$47:$A$65</c:f>
              <c:numCache>
                <c:formatCode>General</c:formatCode>
                <c:ptCount val="19"/>
                <c:pt idx="0">
                  <c:v>0.33</c:v>
                </c:pt>
                <c:pt idx="1">
                  <c:v>0.44</c:v>
                </c:pt>
                <c:pt idx="2">
                  <c:v>0.28999999999999998</c:v>
                </c:pt>
                <c:pt idx="3">
                  <c:v>0.36</c:v>
                </c:pt>
                <c:pt idx="4">
                  <c:v>0.3</c:v>
                </c:pt>
                <c:pt idx="5">
                  <c:v>0.3</c:v>
                </c:pt>
                <c:pt idx="6">
                  <c:v>0.37</c:v>
                </c:pt>
                <c:pt idx="7">
                  <c:v>0.42</c:v>
                </c:pt>
                <c:pt idx="8">
                  <c:v>0.4</c:v>
                </c:pt>
                <c:pt idx="9">
                  <c:v>0.39</c:v>
                </c:pt>
                <c:pt idx="10">
                  <c:v>0.35</c:v>
                </c:pt>
                <c:pt idx="11">
                  <c:v>0.39</c:v>
                </c:pt>
                <c:pt idx="12">
                  <c:v>0.44</c:v>
                </c:pt>
                <c:pt idx="13">
                  <c:v>0.32</c:v>
                </c:pt>
                <c:pt idx="14">
                  <c:v>0.4</c:v>
                </c:pt>
                <c:pt idx="15">
                  <c:v>0.42</c:v>
                </c:pt>
                <c:pt idx="16">
                  <c:v>0.28000000000000003</c:v>
                </c:pt>
                <c:pt idx="17">
                  <c:v>0.35</c:v>
                </c:pt>
                <c:pt idx="18">
                  <c:v>0.4</c:v>
                </c:pt>
              </c:numCache>
            </c:numRef>
          </c:xVal>
          <c:yVal>
            <c:numRef>
              <c:f>Correlation!$B$47:$B$65</c:f>
              <c:numCache>
                <c:formatCode>General</c:formatCode>
                <c:ptCount val="19"/>
                <c:pt idx="0">
                  <c:v>150</c:v>
                </c:pt>
                <c:pt idx="1">
                  <c:v>220</c:v>
                </c:pt>
                <c:pt idx="2">
                  <c:v>110</c:v>
                </c:pt>
                <c:pt idx="3">
                  <c:v>160</c:v>
                </c:pt>
                <c:pt idx="4">
                  <c:v>135</c:v>
                </c:pt>
                <c:pt idx="5">
                  <c:v>190</c:v>
                </c:pt>
                <c:pt idx="6">
                  <c:v>140</c:v>
                </c:pt>
                <c:pt idx="7">
                  <c:v>160</c:v>
                </c:pt>
                <c:pt idx="8">
                  <c:v>115</c:v>
                </c:pt>
                <c:pt idx="9">
                  <c:v>230</c:v>
                </c:pt>
                <c:pt idx="10">
                  <c:v>210</c:v>
                </c:pt>
                <c:pt idx="11">
                  <c:v>180</c:v>
                </c:pt>
                <c:pt idx="12">
                  <c:v>220</c:v>
                </c:pt>
                <c:pt idx="13">
                  <c:v>180</c:v>
                </c:pt>
                <c:pt idx="14">
                  <c:v>210</c:v>
                </c:pt>
                <c:pt idx="15">
                  <c:v>130</c:v>
                </c:pt>
                <c:pt idx="16">
                  <c:v>190</c:v>
                </c:pt>
                <c:pt idx="17">
                  <c:v>200</c:v>
                </c:pt>
                <c:pt idx="18">
                  <c:v>120</c:v>
                </c:pt>
              </c:numCache>
            </c:numRef>
          </c:yVal>
          <c:smooth val="0"/>
          <c:extLst>
            <c:ext xmlns:c16="http://schemas.microsoft.com/office/drawing/2014/chart" uri="{C3380CC4-5D6E-409C-BE32-E72D297353CC}">
              <c16:uniqueId val="{00000000-72CD-4B79-98C9-95931ABA3BFD}"/>
            </c:ext>
          </c:extLst>
        </c:ser>
        <c:dLbls>
          <c:showLegendKey val="0"/>
          <c:showVal val="0"/>
          <c:showCatName val="0"/>
          <c:showSerName val="0"/>
          <c:showPercent val="0"/>
          <c:showBubbleSize val="0"/>
        </c:dLbls>
        <c:axId val="1864420975"/>
        <c:axId val="1864422895"/>
      </c:scatterChart>
      <c:valAx>
        <c:axId val="1864420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Weight (kg)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22895"/>
        <c:crosses val="autoZero"/>
        <c:crossBetween val="midCat"/>
      </c:valAx>
      <c:valAx>
        <c:axId val="1864422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 volume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209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South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Correlation!$A$69:$A$87</c:f>
              <c:numCache>
                <c:formatCode>General</c:formatCode>
                <c:ptCount val="19"/>
                <c:pt idx="0">
                  <c:v>0.45</c:v>
                </c:pt>
                <c:pt idx="1">
                  <c:v>0.28000000000000003</c:v>
                </c:pt>
                <c:pt idx="2">
                  <c:v>0.43</c:v>
                </c:pt>
                <c:pt idx="3">
                  <c:v>0.27</c:v>
                </c:pt>
                <c:pt idx="4">
                  <c:v>0.39</c:v>
                </c:pt>
                <c:pt idx="5">
                  <c:v>0.34</c:v>
                </c:pt>
                <c:pt idx="6">
                  <c:v>0.44</c:v>
                </c:pt>
                <c:pt idx="7">
                  <c:v>0.35</c:v>
                </c:pt>
                <c:pt idx="8">
                  <c:v>0.28999999999999998</c:v>
                </c:pt>
                <c:pt idx="9">
                  <c:v>0.31</c:v>
                </c:pt>
                <c:pt idx="10">
                  <c:v>0.31</c:v>
                </c:pt>
                <c:pt idx="11">
                  <c:v>0.42</c:v>
                </c:pt>
                <c:pt idx="12">
                  <c:v>0.36</c:v>
                </c:pt>
                <c:pt idx="13">
                  <c:v>0.27</c:v>
                </c:pt>
                <c:pt idx="14">
                  <c:v>0.3</c:v>
                </c:pt>
                <c:pt idx="15">
                  <c:v>0.34</c:v>
                </c:pt>
                <c:pt idx="16">
                  <c:v>0.3</c:v>
                </c:pt>
                <c:pt idx="17">
                  <c:v>0.28999999999999998</c:v>
                </c:pt>
                <c:pt idx="18">
                  <c:v>0.34</c:v>
                </c:pt>
              </c:numCache>
            </c:numRef>
          </c:xVal>
          <c:yVal>
            <c:numRef>
              <c:f>Correlation!$B$69:$B$87</c:f>
              <c:numCache>
                <c:formatCode>General</c:formatCode>
                <c:ptCount val="19"/>
                <c:pt idx="0">
                  <c:v>200</c:v>
                </c:pt>
                <c:pt idx="1">
                  <c:v>190</c:v>
                </c:pt>
                <c:pt idx="2">
                  <c:v>210</c:v>
                </c:pt>
                <c:pt idx="3">
                  <c:v>170</c:v>
                </c:pt>
                <c:pt idx="4">
                  <c:v>160</c:v>
                </c:pt>
                <c:pt idx="5">
                  <c:v>200</c:v>
                </c:pt>
                <c:pt idx="6">
                  <c:v>210</c:v>
                </c:pt>
                <c:pt idx="7">
                  <c:v>220</c:v>
                </c:pt>
                <c:pt idx="8">
                  <c:v>240</c:v>
                </c:pt>
                <c:pt idx="9">
                  <c:v>150</c:v>
                </c:pt>
                <c:pt idx="10">
                  <c:v>195</c:v>
                </c:pt>
                <c:pt idx="11">
                  <c:v>210</c:v>
                </c:pt>
                <c:pt idx="12">
                  <c:v>170</c:v>
                </c:pt>
                <c:pt idx="13">
                  <c:v>195</c:v>
                </c:pt>
                <c:pt idx="14">
                  <c:v>140</c:v>
                </c:pt>
                <c:pt idx="15">
                  <c:v>120</c:v>
                </c:pt>
                <c:pt idx="16">
                  <c:v>150</c:v>
                </c:pt>
                <c:pt idx="17">
                  <c:v>220</c:v>
                </c:pt>
                <c:pt idx="18">
                  <c:v>230</c:v>
                </c:pt>
              </c:numCache>
            </c:numRef>
          </c:yVal>
          <c:smooth val="0"/>
          <c:extLst>
            <c:ext xmlns:c16="http://schemas.microsoft.com/office/drawing/2014/chart" uri="{C3380CC4-5D6E-409C-BE32-E72D297353CC}">
              <c16:uniqueId val="{00000000-9E0E-4359-AA21-3094C6F0232D}"/>
            </c:ext>
          </c:extLst>
        </c:ser>
        <c:dLbls>
          <c:showLegendKey val="0"/>
          <c:showVal val="0"/>
          <c:showCatName val="0"/>
          <c:showSerName val="0"/>
          <c:showPercent val="0"/>
          <c:showBubbleSize val="0"/>
        </c:dLbls>
        <c:axId val="1864533775"/>
        <c:axId val="1864534255"/>
      </c:scatterChart>
      <c:valAx>
        <c:axId val="18645337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Weight</a:t>
                </a:r>
                <a:r>
                  <a:rPr lang="en-GB" baseline="0"/>
                  <a:t> (kg)</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34255"/>
        <c:crosses val="autoZero"/>
        <c:crossBetween val="midCat"/>
      </c:valAx>
      <c:valAx>
        <c:axId val="1864534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 Volume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337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Correlation!$A$91:$A$109</c:f>
              <c:numCache>
                <c:formatCode>General</c:formatCode>
                <c:ptCount val="19"/>
                <c:pt idx="0">
                  <c:v>0.42</c:v>
                </c:pt>
                <c:pt idx="1">
                  <c:v>0.37</c:v>
                </c:pt>
                <c:pt idx="2">
                  <c:v>0.32</c:v>
                </c:pt>
                <c:pt idx="3">
                  <c:v>0.4</c:v>
                </c:pt>
                <c:pt idx="4">
                  <c:v>0.37</c:v>
                </c:pt>
                <c:pt idx="5">
                  <c:v>0.33</c:v>
                </c:pt>
                <c:pt idx="6">
                  <c:v>0.31</c:v>
                </c:pt>
                <c:pt idx="7">
                  <c:v>0.34</c:v>
                </c:pt>
                <c:pt idx="8">
                  <c:v>0.37</c:v>
                </c:pt>
                <c:pt idx="9">
                  <c:v>0.33</c:v>
                </c:pt>
                <c:pt idx="10">
                  <c:v>0.37</c:v>
                </c:pt>
                <c:pt idx="11">
                  <c:v>0.3</c:v>
                </c:pt>
                <c:pt idx="12">
                  <c:v>0.35</c:v>
                </c:pt>
                <c:pt idx="13">
                  <c:v>0.36</c:v>
                </c:pt>
                <c:pt idx="14">
                  <c:v>0.32</c:v>
                </c:pt>
                <c:pt idx="15">
                  <c:v>0.37</c:v>
                </c:pt>
                <c:pt idx="16">
                  <c:v>0.38</c:v>
                </c:pt>
                <c:pt idx="17">
                  <c:v>0.36</c:v>
                </c:pt>
                <c:pt idx="18">
                  <c:v>0.3</c:v>
                </c:pt>
              </c:numCache>
            </c:numRef>
          </c:xVal>
          <c:yVal>
            <c:numRef>
              <c:f>Correlation!$B$91:$B$109</c:f>
              <c:numCache>
                <c:formatCode>General</c:formatCode>
                <c:ptCount val="19"/>
                <c:pt idx="0">
                  <c:v>180</c:v>
                </c:pt>
                <c:pt idx="1">
                  <c:v>170</c:v>
                </c:pt>
                <c:pt idx="2">
                  <c:v>150</c:v>
                </c:pt>
                <c:pt idx="3">
                  <c:v>190</c:v>
                </c:pt>
                <c:pt idx="4">
                  <c:v>210</c:v>
                </c:pt>
                <c:pt idx="5">
                  <c:v>150</c:v>
                </c:pt>
                <c:pt idx="6">
                  <c:v>190</c:v>
                </c:pt>
                <c:pt idx="7">
                  <c:v>185</c:v>
                </c:pt>
                <c:pt idx="8">
                  <c:v>180</c:v>
                </c:pt>
                <c:pt idx="9">
                  <c:v>120</c:v>
                </c:pt>
                <c:pt idx="10">
                  <c:v>205</c:v>
                </c:pt>
                <c:pt idx="11">
                  <c:v>150</c:v>
                </c:pt>
                <c:pt idx="12">
                  <c:v>140</c:v>
                </c:pt>
                <c:pt idx="13">
                  <c:v>150</c:v>
                </c:pt>
                <c:pt idx="14">
                  <c:v>135</c:v>
                </c:pt>
                <c:pt idx="15">
                  <c:v>180</c:v>
                </c:pt>
                <c:pt idx="16">
                  <c:v>130</c:v>
                </c:pt>
                <c:pt idx="17">
                  <c:v>130</c:v>
                </c:pt>
                <c:pt idx="18">
                  <c:v>140</c:v>
                </c:pt>
              </c:numCache>
            </c:numRef>
          </c:yVal>
          <c:smooth val="0"/>
          <c:extLst>
            <c:ext xmlns:c16="http://schemas.microsoft.com/office/drawing/2014/chart" uri="{C3380CC4-5D6E-409C-BE32-E72D297353CC}">
              <c16:uniqueId val="{00000000-48B9-4040-8288-A83DF1A3EAC3}"/>
            </c:ext>
          </c:extLst>
        </c:ser>
        <c:dLbls>
          <c:showLegendKey val="0"/>
          <c:showVal val="0"/>
          <c:showCatName val="0"/>
          <c:showSerName val="0"/>
          <c:showPercent val="0"/>
          <c:showBubbleSize val="0"/>
        </c:dLbls>
        <c:axId val="1864454575"/>
        <c:axId val="1864441135"/>
      </c:scatterChart>
      <c:valAx>
        <c:axId val="1864454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Weight (kg)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41135"/>
        <c:crosses val="autoZero"/>
        <c:crossBetween val="midCat"/>
      </c:valAx>
      <c:valAx>
        <c:axId val="186444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 Volume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54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Central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Correlation!$A$3:$A$21</c:f>
              <c:numCache>
                <c:formatCode>General</c:formatCode>
                <c:ptCount val="19"/>
                <c:pt idx="0">
                  <c:v>0.36</c:v>
                </c:pt>
                <c:pt idx="1">
                  <c:v>0.41</c:v>
                </c:pt>
                <c:pt idx="2">
                  <c:v>0.38</c:v>
                </c:pt>
                <c:pt idx="3">
                  <c:v>0.41</c:v>
                </c:pt>
                <c:pt idx="4">
                  <c:v>0.35</c:v>
                </c:pt>
                <c:pt idx="5">
                  <c:v>0.36</c:v>
                </c:pt>
                <c:pt idx="6">
                  <c:v>0.28999999999999998</c:v>
                </c:pt>
                <c:pt idx="7">
                  <c:v>0.38</c:v>
                </c:pt>
                <c:pt idx="8">
                  <c:v>0.32</c:v>
                </c:pt>
                <c:pt idx="9">
                  <c:v>0.41</c:v>
                </c:pt>
                <c:pt idx="10">
                  <c:v>0.28999999999999998</c:v>
                </c:pt>
                <c:pt idx="11">
                  <c:v>0.33</c:v>
                </c:pt>
                <c:pt idx="12">
                  <c:v>0.38</c:v>
                </c:pt>
                <c:pt idx="13">
                  <c:v>0.41</c:v>
                </c:pt>
                <c:pt idx="14">
                  <c:v>0.39</c:v>
                </c:pt>
                <c:pt idx="15">
                  <c:v>0.4</c:v>
                </c:pt>
                <c:pt idx="16">
                  <c:v>0.41</c:v>
                </c:pt>
                <c:pt idx="17">
                  <c:v>0.42</c:v>
                </c:pt>
                <c:pt idx="18">
                  <c:v>0.28999999999999998</c:v>
                </c:pt>
              </c:numCache>
            </c:numRef>
          </c:xVal>
          <c:yVal>
            <c:numRef>
              <c:f>Correlation!$B$3:$B$21</c:f>
              <c:numCache>
                <c:formatCode>General</c:formatCode>
                <c:ptCount val="19"/>
                <c:pt idx="0">
                  <c:v>160</c:v>
                </c:pt>
                <c:pt idx="1">
                  <c:v>230</c:v>
                </c:pt>
                <c:pt idx="2">
                  <c:v>180</c:v>
                </c:pt>
                <c:pt idx="3">
                  <c:v>220</c:v>
                </c:pt>
                <c:pt idx="4">
                  <c:v>180</c:v>
                </c:pt>
                <c:pt idx="5">
                  <c:v>230</c:v>
                </c:pt>
                <c:pt idx="6">
                  <c:v>175</c:v>
                </c:pt>
                <c:pt idx="7">
                  <c:v>130</c:v>
                </c:pt>
                <c:pt idx="8">
                  <c:v>160</c:v>
                </c:pt>
                <c:pt idx="9">
                  <c:v>200</c:v>
                </c:pt>
                <c:pt idx="10">
                  <c:v>160</c:v>
                </c:pt>
                <c:pt idx="11">
                  <c:v>130</c:v>
                </c:pt>
                <c:pt idx="12">
                  <c:v>165</c:v>
                </c:pt>
                <c:pt idx="13">
                  <c:v>180</c:v>
                </c:pt>
                <c:pt idx="14">
                  <c:v>170</c:v>
                </c:pt>
                <c:pt idx="15">
                  <c:v>210</c:v>
                </c:pt>
                <c:pt idx="16">
                  <c:v>170</c:v>
                </c:pt>
                <c:pt idx="17">
                  <c:v>180</c:v>
                </c:pt>
                <c:pt idx="18">
                  <c:v>150</c:v>
                </c:pt>
              </c:numCache>
            </c:numRef>
          </c:yVal>
          <c:smooth val="0"/>
          <c:extLst>
            <c:ext xmlns:c16="http://schemas.microsoft.com/office/drawing/2014/chart" uri="{C3380CC4-5D6E-409C-BE32-E72D297353CC}">
              <c16:uniqueId val="{00000000-E684-476D-B379-5DC090EBD34C}"/>
            </c:ext>
          </c:extLst>
        </c:ser>
        <c:dLbls>
          <c:showLegendKey val="0"/>
          <c:showVal val="0"/>
          <c:showCatName val="0"/>
          <c:showSerName val="0"/>
          <c:showPercent val="0"/>
          <c:showBubbleSize val="0"/>
        </c:dLbls>
        <c:axId val="1857651759"/>
        <c:axId val="1857653199"/>
      </c:scatterChart>
      <c:valAx>
        <c:axId val="18576517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Weight (kg)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653199"/>
        <c:crosses val="autoZero"/>
        <c:crossBetween val="midCat"/>
      </c:valAx>
      <c:valAx>
        <c:axId val="185765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 Volume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65175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[Berries.xlsx]PivotTable!SalesVolumbyYearRegion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 Volume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PivotTable!$B$3:$B$4</c:f>
              <c:strCache>
                <c:ptCount val="1"/>
                <c:pt idx="0">
                  <c:v>Central</c:v>
                </c:pt>
              </c:strCache>
            </c:strRef>
          </c:tx>
          <c:spPr>
            <a:ln w="28575" cap="rnd">
              <a:solidFill>
                <a:schemeClr val="accent1"/>
              </a:solidFill>
              <a:round/>
            </a:ln>
            <a:effectLst/>
          </c:spPr>
          <c:marker>
            <c:symbol val="none"/>
          </c:marker>
          <c:cat>
            <c:multiLvlStrRef>
              <c:f>PivotTable!$A$5:$A$15</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PivotTable!$B$5:$B$15</c:f>
              <c:numCache>
                <c:formatCode>General</c:formatCode>
                <c:ptCount val="8"/>
                <c:pt idx="0">
                  <c:v>390</c:v>
                </c:pt>
                <c:pt idx="1">
                  <c:v>580</c:v>
                </c:pt>
                <c:pt idx="2">
                  <c:v>405</c:v>
                </c:pt>
                <c:pt idx="3">
                  <c:v>490</c:v>
                </c:pt>
                <c:pt idx="4">
                  <c:v>455</c:v>
                </c:pt>
                <c:pt idx="5">
                  <c:v>350</c:v>
                </c:pt>
                <c:pt idx="6">
                  <c:v>560</c:v>
                </c:pt>
                <c:pt idx="7">
                  <c:v>150</c:v>
                </c:pt>
              </c:numCache>
            </c:numRef>
          </c:val>
          <c:smooth val="0"/>
          <c:extLst>
            <c:ext xmlns:c16="http://schemas.microsoft.com/office/drawing/2014/chart" uri="{C3380CC4-5D6E-409C-BE32-E72D297353CC}">
              <c16:uniqueId val="{00000000-B1D2-4D83-B73F-B27ECDE2AF38}"/>
            </c:ext>
          </c:extLst>
        </c:ser>
        <c:ser>
          <c:idx val="1"/>
          <c:order val="1"/>
          <c:tx>
            <c:strRef>
              <c:f>PivotTable!$C$3:$C$4</c:f>
              <c:strCache>
                <c:ptCount val="1"/>
                <c:pt idx="0">
                  <c:v>East</c:v>
                </c:pt>
              </c:strCache>
            </c:strRef>
          </c:tx>
          <c:spPr>
            <a:ln w="28575" cap="rnd">
              <a:solidFill>
                <a:schemeClr val="accent2"/>
              </a:solidFill>
              <a:round/>
            </a:ln>
            <a:effectLst/>
          </c:spPr>
          <c:marker>
            <c:symbol val="none"/>
          </c:marker>
          <c:cat>
            <c:multiLvlStrRef>
              <c:f>PivotTable!$A$5:$A$15</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PivotTable!$C$5:$C$15</c:f>
              <c:numCache>
                <c:formatCode>General</c:formatCode>
                <c:ptCount val="8"/>
                <c:pt idx="0">
                  <c:v>390</c:v>
                </c:pt>
                <c:pt idx="1">
                  <c:v>315</c:v>
                </c:pt>
                <c:pt idx="2">
                  <c:v>380</c:v>
                </c:pt>
                <c:pt idx="3">
                  <c:v>485</c:v>
                </c:pt>
                <c:pt idx="4">
                  <c:v>390</c:v>
                </c:pt>
                <c:pt idx="5">
                  <c:v>420</c:v>
                </c:pt>
                <c:pt idx="6">
                  <c:v>370</c:v>
                </c:pt>
                <c:pt idx="7">
                  <c:v>170</c:v>
                </c:pt>
              </c:numCache>
            </c:numRef>
          </c:val>
          <c:smooth val="0"/>
          <c:extLst>
            <c:ext xmlns:c16="http://schemas.microsoft.com/office/drawing/2014/chart" uri="{C3380CC4-5D6E-409C-BE32-E72D297353CC}">
              <c16:uniqueId val="{0000002B-B1D2-4D83-B73F-B27ECDE2AF38}"/>
            </c:ext>
          </c:extLst>
        </c:ser>
        <c:ser>
          <c:idx val="2"/>
          <c:order val="2"/>
          <c:tx>
            <c:strRef>
              <c:f>PivotTable!$D$3:$D$4</c:f>
              <c:strCache>
                <c:ptCount val="1"/>
                <c:pt idx="0">
                  <c:v>North</c:v>
                </c:pt>
              </c:strCache>
            </c:strRef>
          </c:tx>
          <c:spPr>
            <a:ln w="28575" cap="rnd">
              <a:solidFill>
                <a:schemeClr val="accent3"/>
              </a:solidFill>
              <a:round/>
            </a:ln>
            <a:effectLst/>
          </c:spPr>
          <c:marker>
            <c:symbol val="none"/>
          </c:marker>
          <c:cat>
            <c:multiLvlStrRef>
              <c:f>PivotTable!$A$5:$A$15</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PivotTable!$D$5:$D$15</c:f>
              <c:numCache>
                <c:formatCode>General</c:formatCode>
                <c:ptCount val="8"/>
                <c:pt idx="0">
                  <c:v>480</c:v>
                </c:pt>
                <c:pt idx="1">
                  <c:v>485</c:v>
                </c:pt>
                <c:pt idx="2">
                  <c:v>300</c:v>
                </c:pt>
                <c:pt idx="3">
                  <c:v>555</c:v>
                </c:pt>
                <c:pt idx="4">
                  <c:v>580</c:v>
                </c:pt>
                <c:pt idx="5">
                  <c:v>340</c:v>
                </c:pt>
                <c:pt idx="6">
                  <c:v>510</c:v>
                </c:pt>
              </c:numCache>
            </c:numRef>
          </c:val>
          <c:smooth val="0"/>
          <c:extLst>
            <c:ext xmlns:c16="http://schemas.microsoft.com/office/drawing/2014/chart" uri="{C3380CC4-5D6E-409C-BE32-E72D297353CC}">
              <c16:uniqueId val="{0000002C-B1D2-4D83-B73F-B27ECDE2AF38}"/>
            </c:ext>
          </c:extLst>
        </c:ser>
        <c:ser>
          <c:idx val="3"/>
          <c:order val="3"/>
          <c:tx>
            <c:strRef>
              <c:f>PivotTable!$E$3:$E$4</c:f>
              <c:strCache>
                <c:ptCount val="1"/>
                <c:pt idx="0">
                  <c:v>South</c:v>
                </c:pt>
              </c:strCache>
            </c:strRef>
          </c:tx>
          <c:spPr>
            <a:ln w="28575" cap="rnd">
              <a:solidFill>
                <a:schemeClr val="accent4"/>
              </a:solidFill>
              <a:round/>
            </a:ln>
            <a:effectLst/>
          </c:spPr>
          <c:marker>
            <c:symbol val="none"/>
          </c:marker>
          <c:cat>
            <c:multiLvlStrRef>
              <c:f>PivotTable!$A$5:$A$15</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PivotTable!$E$5:$E$15</c:f>
              <c:numCache>
                <c:formatCode>General</c:formatCode>
                <c:ptCount val="8"/>
                <c:pt idx="0">
                  <c:v>600</c:v>
                </c:pt>
                <c:pt idx="1">
                  <c:v>330</c:v>
                </c:pt>
                <c:pt idx="2">
                  <c:v>630</c:v>
                </c:pt>
                <c:pt idx="3">
                  <c:v>585</c:v>
                </c:pt>
                <c:pt idx="4">
                  <c:v>380</c:v>
                </c:pt>
                <c:pt idx="5">
                  <c:v>455</c:v>
                </c:pt>
                <c:pt idx="6">
                  <c:v>600</c:v>
                </c:pt>
              </c:numCache>
            </c:numRef>
          </c:val>
          <c:smooth val="0"/>
          <c:extLst>
            <c:ext xmlns:c16="http://schemas.microsoft.com/office/drawing/2014/chart" uri="{C3380CC4-5D6E-409C-BE32-E72D297353CC}">
              <c16:uniqueId val="{0000002D-B1D2-4D83-B73F-B27ECDE2AF38}"/>
            </c:ext>
          </c:extLst>
        </c:ser>
        <c:ser>
          <c:idx val="4"/>
          <c:order val="4"/>
          <c:tx>
            <c:strRef>
              <c:f>PivotTable!$F$3:$F$4</c:f>
              <c:strCache>
                <c:ptCount val="1"/>
                <c:pt idx="0">
                  <c:v>West</c:v>
                </c:pt>
              </c:strCache>
            </c:strRef>
          </c:tx>
          <c:spPr>
            <a:ln w="28575" cap="rnd">
              <a:solidFill>
                <a:schemeClr val="accent5"/>
              </a:solidFill>
              <a:round/>
            </a:ln>
            <a:effectLst/>
          </c:spPr>
          <c:marker>
            <c:symbol val="none"/>
          </c:marker>
          <c:cat>
            <c:multiLvlStrRef>
              <c:f>PivotTable!$A$5:$A$15</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PivotTable!$F$5:$F$15</c:f>
              <c:numCache>
                <c:formatCode>General</c:formatCode>
                <c:ptCount val="8"/>
                <c:pt idx="0">
                  <c:v>350</c:v>
                </c:pt>
                <c:pt idx="1">
                  <c:v>550</c:v>
                </c:pt>
                <c:pt idx="2">
                  <c:v>525</c:v>
                </c:pt>
                <c:pt idx="3">
                  <c:v>300</c:v>
                </c:pt>
                <c:pt idx="4">
                  <c:v>495</c:v>
                </c:pt>
                <c:pt idx="5">
                  <c:v>465</c:v>
                </c:pt>
                <c:pt idx="6">
                  <c:v>260</c:v>
                </c:pt>
                <c:pt idx="7">
                  <c:v>140</c:v>
                </c:pt>
              </c:numCache>
            </c:numRef>
          </c:val>
          <c:smooth val="0"/>
          <c:extLst>
            <c:ext xmlns:c16="http://schemas.microsoft.com/office/drawing/2014/chart" uri="{C3380CC4-5D6E-409C-BE32-E72D297353CC}">
              <c16:uniqueId val="{0000002E-B1D2-4D83-B73F-B27ECDE2AF38}"/>
            </c:ext>
          </c:extLst>
        </c:ser>
        <c:dLbls>
          <c:showLegendKey val="0"/>
          <c:showVal val="0"/>
          <c:showCatName val="0"/>
          <c:showSerName val="0"/>
          <c:showPercent val="0"/>
          <c:showBubbleSize val="0"/>
        </c:dLbls>
        <c:smooth val="0"/>
        <c:axId val="508520992"/>
        <c:axId val="508522912"/>
      </c:lineChart>
      <c:catAx>
        <c:axId val="50852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Quaters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22912"/>
        <c:crosses val="autoZero"/>
        <c:auto val="1"/>
        <c:lblAlgn val="ctr"/>
        <c:lblOffset val="100"/>
        <c:noMultiLvlLbl val="0"/>
      </c:catAx>
      <c:valAx>
        <c:axId val="50852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 Volume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[Berries.xlsx]PivotTable!SalesVolumebyRegionBerrryType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Berry Demand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PivotTable!$B$20:$B$21</c:f>
              <c:strCache>
                <c:ptCount val="1"/>
                <c:pt idx="0">
                  <c:v>Black</c:v>
                </c:pt>
              </c:strCache>
            </c:strRef>
          </c:tx>
          <c:spPr>
            <a:solidFill>
              <a:schemeClr val="accent1"/>
            </a:solidFill>
            <a:ln>
              <a:noFill/>
            </a:ln>
            <a:effectLst/>
          </c:spPr>
          <c:invertIfNegative val="0"/>
          <c:cat>
            <c:strRef>
              <c:f>PivotTable!$A$22:$A$27</c:f>
              <c:strCache>
                <c:ptCount val="5"/>
                <c:pt idx="0">
                  <c:v>Central</c:v>
                </c:pt>
                <c:pt idx="1">
                  <c:v>East</c:v>
                </c:pt>
                <c:pt idx="2">
                  <c:v>North</c:v>
                </c:pt>
                <c:pt idx="3">
                  <c:v>South</c:v>
                </c:pt>
                <c:pt idx="4">
                  <c:v>West</c:v>
                </c:pt>
              </c:strCache>
            </c:strRef>
          </c:cat>
          <c:val>
            <c:numRef>
              <c:f>PivotTable!$B$22:$B$27</c:f>
              <c:numCache>
                <c:formatCode>General</c:formatCode>
                <c:ptCount val="5"/>
                <c:pt idx="0">
                  <c:v>1710</c:v>
                </c:pt>
                <c:pt idx="1">
                  <c:v>1355</c:v>
                </c:pt>
                <c:pt idx="2">
                  <c:v>1650</c:v>
                </c:pt>
                <c:pt idx="3">
                  <c:v>1905</c:v>
                </c:pt>
                <c:pt idx="4">
                  <c:v>1660</c:v>
                </c:pt>
              </c:numCache>
            </c:numRef>
          </c:val>
          <c:extLst>
            <c:ext xmlns:c16="http://schemas.microsoft.com/office/drawing/2014/chart" uri="{C3380CC4-5D6E-409C-BE32-E72D297353CC}">
              <c16:uniqueId val="{00000000-DD89-4478-8326-0FAC9EF139F4}"/>
            </c:ext>
          </c:extLst>
        </c:ser>
        <c:ser>
          <c:idx val="1"/>
          <c:order val="1"/>
          <c:tx>
            <c:strRef>
              <c:f>PivotTable!$C$20:$C$21</c:f>
              <c:strCache>
                <c:ptCount val="1"/>
                <c:pt idx="0">
                  <c:v>Red</c:v>
                </c:pt>
              </c:strCache>
            </c:strRef>
          </c:tx>
          <c:spPr>
            <a:solidFill>
              <a:schemeClr val="accent2"/>
            </a:solidFill>
            <a:ln>
              <a:noFill/>
            </a:ln>
            <a:effectLst/>
          </c:spPr>
          <c:invertIfNegative val="0"/>
          <c:cat>
            <c:strRef>
              <c:f>PivotTable!$A$22:$A$27</c:f>
              <c:strCache>
                <c:ptCount val="5"/>
                <c:pt idx="0">
                  <c:v>Central</c:v>
                </c:pt>
                <c:pt idx="1">
                  <c:v>East</c:v>
                </c:pt>
                <c:pt idx="2">
                  <c:v>North</c:v>
                </c:pt>
                <c:pt idx="3">
                  <c:v>South</c:v>
                </c:pt>
                <c:pt idx="4">
                  <c:v>West</c:v>
                </c:pt>
              </c:strCache>
            </c:strRef>
          </c:cat>
          <c:val>
            <c:numRef>
              <c:f>PivotTable!$C$22:$C$27</c:f>
              <c:numCache>
                <c:formatCode>General</c:formatCode>
                <c:ptCount val="5"/>
                <c:pt idx="0">
                  <c:v>1670</c:v>
                </c:pt>
                <c:pt idx="1">
                  <c:v>1565</c:v>
                </c:pt>
                <c:pt idx="2">
                  <c:v>1600</c:v>
                </c:pt>
                <c:pt idx="3">
                  <c:v>1675</c:v>
                </c:pt>
                <c:pt idx="4">
                  <c:v>1425</c:v>
                </c:pt>
              </c:numCache>
            </c:numRef>
          </c:val>
          <c:extLst>
            <c:ext xmlns:c16="http://schemas.microsoft.com/office/drawing/2014/chart" uri="{C3380CC4-5D6E-409C-BE32-E72D297353CC}">
              <c16:uniqueId val="{00000001-DD89-4478-8326-0FAC9EF139F4}"/>
            </c:ext>
          </c:extLst>
        </c:ser>
        <c:dLbls>
          <c:showLegendKey val="0"/>
          <c:showVal val="0"/>
          <c:showCatName val="0"/>
          <c:showSerName val="0"/>
          <c:showPercent val="0"/>
          <c:showBubbleSize val="0"/>
        </c:dLbls>
        <c:gapWidth val="219"/>
        <c:overlap val="-27"/>
        <c:axId val="1864514575"/>
        <c:axId val="1864504495"/>
      </c:barChart>
      <c:catAx>
        <c:axId val="1864514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04495"/>
        <c:crosses val="autoZero"/>
        <c:auto val="1"/>
        <c:lblAlgn val="ctr"/>
        <c:lblOffset val="100"/>
        <c:noMultiLvlLbl val="0"/>
      </c:catAx>
      <c:valAx>
        <c:axId val="1864504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r>
                  <a:rPr lang="en-GB" baseline="0"/>
                  <a:t> Volume (kg)</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1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Berry</a:t>
            </a:r>
            <a:r>
              <a:rPr lang="en-GB" baseline="0"/>
              <a:t> Weight vs Regional Sales Volume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tx>
            <c:v>Central</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Correlation!$A$3:$A$21</c:f>
              <c:numCache>
                <c:formatCode>General</c:formatCode>
                <c:ptCount val="19"/>
                <c:pt idx="0">
                  <c:v>0.36</c:v>
                </c:pt>
                <c:pt idx="1">
                  <c:v>0.41</c:v>
                </c:pt>
                <c:pt idx="2">
                  <c:v>0.38</c:v>
                </c:pt>
                <c:pt idx="3">
                  <c:v>0.41</c:v>
                </c:pt>
                <c:pt idx="4">
                  <c:v>0.35</c:v>
                </c:pt>
                <c:pt idx="5">
                  <c:v>0.36</c:v>
                </c:pt>
                <c:pt idx="6">
                  <c:v>0.28999999999999998</c:v>
                </c:pt>
                <c:pt idx="7">
                  <c:v>0.38</c:v>
                </c:pt>
                <c:pt idx="8">
                  <c:v>0.32</c:v>
                </c:pt>
                <c:pt idx="9">
                  <c:v>0.41</c:v>
                </c:pt>
                <c:pt idx="10">
                  <c:v>0.28999999999999998</c:v>
                </c:pt>
                <c:pt idx="11">
                  <c:v>0.33</c:v>
                </c:pt>
                <c:pt idx="12">
                  <c:v>0.38</c:v>
                </c:pt>
                <c:pt idx="13">
                  <c:v>0.41</c:v>
                </c:pt>
                <c:pt idx="14">
                  <c:v>0.39</c:v>
                </c:pt>
                <c:pt idx="15">
                  <c:v>0.4</c:v>
                </c:pt>
                <c:pt idx="16">
                  <c:v>0.41</c:v>
                </c:pt>
                <c:pt idx="17">
                  <c:v>0.42</c:v>
                </c:pt>
                <c:pt idx="18">
                  <c:v>0.28999999999999998</c:v>
                </c:pt>
              </c:numCache>
            </c:numRef>
          </c:xVal>
          <c:yVal>
            <c:numRef>
              <c:f>Correlation!$B$3:$B$21</c:f>
              <c:numCache>
                <c:formatCode>General</c:formatCode>
                <c:ptCount val="19"/>
                <c:pt idx="0">
                  <c:v>160</c:v>
                </c:pt>
                <c:pt idx="1">
                  <c:v>230</c:v>
                </c:pt>
                <c:pt idx="2">
                  <c:v>180</c:v>
                </c:pt>
                <c:pt idx="3">
                  <c:v>220</c:v>
                </c:pt>
                <c:pt idx="4">
                  <c:v>180</c:v>
                </c:pt>
                <c:pt idx="5">
                  <c:v>230</c:v>
                </c:pt>
                <c:pt idx="6">
                  <c:v>175</c:v>
                </c:pt>
                <c:pt idx="7">
                  <c:v>130</c:v>
                </c:pt>
                <c:pt idx="8">
                  <c:v>160</c:v>
                </c:pt>
                <c:pt idx="9">
                  <c:v>200</c:v>
                </c:pt>
                <c:pt idx="10">
                  <c:v>160</c:v>
                </c:pt>
                <c:pt idx="11">
                  <c:v>130</c:v>
                </c:pt>
                <c:pt idx="12">
                  <c:v>165</c:v>
                </c:pt>
                <c:pt idx="13">
                  <c:v>180</c:v>
                </c:pt>
                <c:pt idx="14">
                  <c:v>170</c:v>
                </c:pt>
                <c:pt idx="15">
                  <c:v>210</c:v>
                </c:pt>
                <c:pt idx="16">
                  <c:v>170</c:v>
                </c:pt>
                <c:pt idx="17">
                  <c:v>180</c:v>
                </c:pt>
                <c:pt idx="18">
                  <c:v>150</c:v>
                </c:pt>
              </c:numCache>
            </c:numRef>
          </c:yVal>
          <c:smooth val="0"/>
          <c:extLst>
            <c:ext xmlns:c16="http://schemas.microsoft.com/office/drawing/2014/chart" uri="{C3380CC4-5D6E-409C-BE32-E72D297353CC}">
              <c16:uniqueId val="{00000001-1861-468C-A73B-738A59793E26}"/>
            </c:ext>
          </c:extLst>
        </c:ser>
        <c:ser>
          <c:idx val="1"/>
          <c:order val="1"/>
          <c:tx>
            <c:strRef>
              <c:f>Correlation!$A$23</c:f>
              <c:strCache>
                <c:ptCount val="1"/>
                <c:pt idx="0">
                  <c:v>East</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Correlation!$A$25:$A$43</c:f>
              <c:numCache>
                <c:formatCode>General</c:formatCode>
                <c:ptCount val="19"/>
                <c:pt idx="0">
                  <c:v>0.39</c:v>
                </c:pt>
                <c:pt idx="1">
                  <c:v>0.35</c:v>
                </c:pt>
                <c:pt idx="2">
                  <c:v>0.31</c:v>
                </c:pt>
                <c:pt idx="3">
                  <c:v>0.34</c:v>
                </c:pt>
                <c:pt idx="4">
                  <c:v>0.32</c:v>
                </c:pt>
                <c:pt idx="5">
                  <c:v>0.39</c:v>
                </c:pt>
                <c:pt idx="6">
                  <c:v>0.4</c:v>
                </c:pt>
                <c:pt idx="7">
                  <c:v>0.28000000000000003</c:v>
                </c:pt>
                <c:pt idx="8">
                  <c:v>0.36</c:v>
                </c:pt>
                <c:pt idx="9">
                  <c:v>0.42</c:v>
                </c:pt>
                <c:pt idx="10">
                  <c:v>0.43</c:v>
                </c:pt>
                <c:pt idx="11">
                  <c:v>0.4</c:v>
                </c:pt>
                <c:pt idx="12">
                  <c:v>0.31</c:v>
                </c:pt>
                <c:pt idx="13">
                  <c:v>0.37</c:v>
                </c:pt>
                <c:pt idx="14">
                  <c:v>0.28999999999999998</c:v>
                </c:pt>
                <c:pt idx="15">
                  <c:v>0.31</c:v>
                </c:pt>
                <c:pt idx="16">
                  <c:v>0.32</c:v>
                </c:pt>
                <c:pt idx="17">
                  <c:v>0.33</c:v>
                </c:pt>
                <c:pt idx="18">
                  <c:v>0.33</c:v>
                </c:pt>
              </c:numCache>
            </c:numRef>
          </c:xVal>
          <c:yVal>
            <c:numRef>
              <c:f>Correlation!$B$25:$B$43</c:f>
              <c:numCache>
                <c:formatCode>General</c:formatCode>
                <c:ptCount val="19"/>
                <c:pt idx="0">
                  <c:v>120</c:v>
                </c:pt>
                <c:pt idx="1">
                  <c:v>140</c:v>
                </c:pt>
                <c:pt idx="2">
                  <c:v>130</c:v>
                </c:pt>
                <c:pt idx="3">
                  <c:v>145</c:v>
                </c:pt>
                <c:pt idx="4">
                  <c:v>170</c:v>
                </c:pt>
                <c:pt idx="5">
                  <c:v>120</c:v>
                </c:pt>
                <c:pt idx="6">
                  <c:v>150</c:v>
                </c:pt>
                <c:pt idx="7">
                  <c:v>110</c:v>
                </c:pt>
                <c:pt idx="8">
                  <c:v>170</c:v>
                </c:pt>
                <c:pt idx="9">
                  <c:v>170</c:v>
                </c:pt>
                <c:pt idx="10">
                  <c:v>145</c:v>
                </c:pt>
                <c:pt idx="11">
                  <c:v>200</c:v>
                </c:pt>
                <c:pt idx="12">
                  <c:v>190</c:v>
                </c:pt>
                <c:pt idx="13">
                  <c:v>120</c:v>
                </c:pt>
                <c:pt idx="14">
                  <c:v>160</c:v>
                </c:pt>
                <c:pt idx="15">
                  <c:v>140</c:v>
                </c:pt>
                <c:pt idx="16">
                  <c:v>160</c:v>
                </c:pt>
                <c:pt idx="17">
                  <c:v>210</c:v>
                </c:pt>
                <c:pt idx="18">
                  <c:v>170</c:v>
                </c:pt>
              </c:numCache>
            </c:numRef>
          </c:yVal>
          <c:smooth val="0"/>
          <c:extLst>
            <c:ext xmlns:c16="http://schemas.microsoft.com/office/drawing/2014/chart" uri="{C3380CC4-5D6E-409C-BE32-E72D297353CC}">
              <c16:uniqueId val="{00000003-1861-468C-A73B-738A59793E26}"/>
            </c:ext>
          </c:extLst>
        </c:ser>
        <c:ser>
          <c:idx val="2"/>
          <c:order val="2"/>
          <c:tx>
            <c:strRef>
              <c:f>Correlation!$A$45</c:f>
              <c:strCache>
                <c:ptCount val="1"/>
                <c:pt idx="0">
                  <c:v>North</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Correlation!$A$47:$A$65</c:f>
              <c:numCache>
                <c:formatCode>General</c:formatCode>
                <c:ptCount val="19"/>
                <c:pt idx="0">
                  <c:v>0.33</c:v>
                </c:pt>
                <c:pt idx="1">
                  <c:v>0.44</c:v>
                </c:pt>
                <c:pt idx="2">
                  <c:v>0.28999999999999998</c:v>
                </c:pt>
                <c:pt idx="3">
                  <c:v>0.36</c:v>
                </c:pt>
                <c:pt idx="4">
                  <c:v>0.3</c:v>
                </c:pt>
                <c:pt idx="5">
                  <c:v>0.3</c:v>
                </c:pt>
                <c:pt idx="6">
                  <c:v>0.37</c:v>
                </c:pt>
                <c:pt idx="7">
                  <c:v>0.42</c:v>
                </c:pt>
                <c:pt idx="8">
                  <c:v>0.4</c:v>
                </c:pt>
                <c:pt idx="9">
                  <c:v>0.39</c:v>
                </c:pt>
                <c:pt idx="10">
                  <c:v>0.35</c:v>
                </c:pt>
                <c:pt idx="11">
                  <c:v>0.39</c:v>
                </c:pt>
                <c:pt idx="12">
                  <c:v>0.44</c:v>
                </c:pt>
                <c:pt idx="13">
                  <c:v>0.32</c:v>
                </c:pt>
                <c:pt idx="14">
                  <c:v>0.4</c:v>
                </c:pt>
                <c:pt idx="15">
                  <c:v>0.42</c:v>
                </c:pt>
                <c:pt idx="16">
                  <c:v>0.28000000000000003</c:v>
                </c:pt>
                <c:pt idx="17">
                  <c:v>0.35</c:v>
                </c:pt>
                <c:pt idx="18">
                  <c:v>0.4</c:v>
                </c:pt>
              </c:numCache>
            </c:numRef>
          </c:xVal>
          <c:yVal>
            <c:numRef>
              <c:f>Correlation!$B$47:$B$65</c:f>
              <c:numCache>
                <c:formatCode>General</c:formatCode>
                <c:ptCount val="19"/>
                <c:pt idx="0">
                  <c:v>150</c:v>
                </c:pt>
                <c:pt idx="1">
                  <c:v>220</c:v>
                </c:pt>
                <c:pt idx="2">
                  <c:v>110</c:v>
                </c:pt>
                <c:pt idx="3">
                  <c:v>160</c:v>
                </c:pt>
                <c:pt idx="4">
                  <c:v>135</c:v>
                </c:pt>
                <c:pt idx="5">
                  <c:v>190</c:v>
                </c:pt>
                <c:pt idx="6">
                  <c:v>140</c:v>
                </c:pt>
                <c:pt idx="7">
                  <c:v>160</c:v>
                </c:pt>
                <c:pt idx="8">
                  <c:v>115</c:v>
                </c:pt>
                <c:pt idx="9">
                  <c:v>230</c:v>
                </c:pt>
                <c:pt idx="10">
                  <c:v>210</c:v>
                </c:pt>
                <c:pt idx="11">
                  <c:v>180</c:v>
                </c:pt>
                <c:pt idx="12">
                  <c:v>220</c:v>
                </c:pt>
                <c:pt idx="13">
                  <c:v>180</c:v>
                </c:pt>
                <c:pt idx="14">
                  <c:v>210</c:v>
                </c:pt>
                <c:pt idx="15">
                  <c:v>130</c:v>
                </c:pt>
                <c:pt idx="16">
                  <c:v>190</c:v>
                </c:pt>
                <c:pt idx="17">
                  <c:v>200</c:v>
                </c:pt>
                <c:pt idx="18">
                  <c:v>120</c:v>
                </c:pt>
              </c:numCache>
            </c:numRef>
          </c:yVal>
          <c:smooth val="0"/>
          <c:extLst>
            <c:ext xmlns:c16="http://schemas.microsoft.com/office/drawing/2014/chart" uri="{C3380CC4-5D6E-409C-BE32-E72D297353CC}">
              <c16:uniqueId val="{00000005-1861-468C-A73B-738A59793E26}"/>
            </c:ext>
          </c:extLst>
        </c:ser>
        <c:ser>
          <c:idx val="3"/>
          <c:order val="3"/>
          <c:tx>
            <c:strRef>
              <c:f>Correlation!$A$67</c:f>
              <c:strCache>
                <c:ptCount val="1"/>
                <c:pt idx="0">
                  <c:v>South</c:v>
                </c:pt>
              </c:strCache>
            </c:strRef>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xVal>
            <c:numRef>
              <c:f>Correlation!$A$69:$A$87</c:f>
              <c:numCache>
                <c:formatCode>General</c:formatCode>
                <c:ptCount val="19"/>
                <c:pt idx="0">
                  <c:v>0.45</c:v>
                </c:pt>
                <c:pt idx="1">
                  <c:v>0.28000000000000003</c:v>
                </c:pt>
                <c:pt idx="2">
                  <c:v>0.43</c:v>
                </c:pt>
                <c:pt idx="3">
                  <c:v>0.27</c:v>
                </c:pt>
                <c:pt idx="4">
                  <c:v>0.39</c:v>
                </c:pt>
                <c:pt idx="5">
                  <c:v>0.34</c:v>
                </c:pt>
                <c:pt idx="6">
                  <c:v>0.44</c:v>
                </c:pt>
                <c:pt idx="7">
                  <c:v>0.35</c:v>
                </c:pt>
                <c:pt idx="8">
                  <c:v>0.28999999999999998</c:v>
                </c:pt>
                <c:pt idx="9">
                  <c:v>0.31</c:v>
                </c:pt>
                <c:pt idx="10">
                  <c:v>0.31</c:v>
                </c:pt>
                <c:pt idx="11">
                  <c:v>0.42</c:v>
                </c:pt>
                <c:pt idx="12">
                  <c:v>0.36</c:v>
                </c:pt>
                <c:pt idx="13">
                  <c:v>0.27</c:v>
                </c:pt>
                <c:pt idx="14">
                  <c:v>0.3</c:v>
                </c:pt>
                <c:pt idx="15">
                  <c:v>0.34</c:v>
                </c:pt>
                <c:pt idx="16">
                  <c:v>0.3</c:v>
                </c:pt>
                <c:pt idx="17">
                  <c:v>0.28999999999999998</c:v>
                </c:pt>
                <c:pt idx="18">
                  <c:v>0.34</c:v>
                </c:pt>
              </c:numCache>
            </c:numRef>
          </c:xVal>
          <c:yVal>
            <c:numRef>
              <c:f>Correlation!$B$69:$B$87</c:f>
              <c:numCache>
                <c:formatCode>General</c:formatCode>
                <c:ptCount val="19"/>
                <c:pt idx="0">
                  <c:v>200</c:v>
                </c:pt>
                <c:pt idx="1">
                  <c:v>190</c:v>
                </c:pt>
                <c:pt idx="2">
                  <c:v>210</c:v>
                </c:pt>
                <c:pt idx="3">
                  <c:v>170</c:v>
                </c:pt>
                <c:pt idx="4">
                  <c:v>160</c:v>
                </c:pt>
                <c:pt idx="5">
                  <c:v>200</c:v>
                </c:pt>
                <c:pt idx="6">
                  <c:v>210</c:v>
                </c:pt>
                <c:pt idx="7">
                  <c:v>220</c:v>
                </c:pt>
                <c:pt idx="8">
                  <c:v>240</c:v>
                </c:pt>
                <c:pt idx="9">
                  <c:v>150</c:v>
                </c:pt>
                <c:pt idx="10">
                  <c:v>195</c:v>
                </c:pt>
                <c:pt idx="11">
                  <c:v>210</c:v>
                </c:pt>
                <c:pt idx="12">
                  <c:v>170</c:v>
                </c:pt>
                <c:pt idx="13">
                  <c:v>195</c:v>
                </c:pt>
                <c:pt idx="14">
                  <c:v>140</c:v>
                </c:pt>
                <c:pt idx="15">
                  <c:v>120</c:v>
                </c:pt>
                <c:pt idx="16">
                  <c:v>150</c:v>
                </c:pt>
                <c:pt idx="17">
                  <c:v>220</c:v>
                </c:pt>
                <c:pt idx="18">
                  <c:v>230</c:v>
                </c:pt>
              </c:numCache>
            </c:numRef>
          </c:yVal>
          <c:smooth val="0"/>
          <c:extLst>
            <c:ext xmlns:c16="http://schemas.microsoft.com/office/drawing/2014/chart" uri="{C3380CC4-5D6E-409C-BE32-E72D297353CC}">
              <c16:uniqueId val="{00000007-1861-468C-A73B-738A59793E26}"/>
            </c:ext>
          </c:extLst>
        </c:ser>
        <c:ser>
          <c:idx val="4"/>
          <c:order val="4"/>
          <c:tx>
            <c:strRef>
              <c:f>Correlation!$A$89</c:f>
              <c:strCache>
                <c:ptCount val="1"/>
                <c:pt idx="0">
                  <c:v>West</c:v>
                </c:pt>
              </c:strCache>
            </c:strRef>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xVal>
            <c:numRef>
              <c:f>Correlation!$A$91:$A$109</c:f>
              <c:numCache>
                <c:formatCode>General</c:formatCode>
                <c:ptCount val="19"/>
                <c:pt idx="0">
                  <c:v>0.42</c:v>
                </c:pt>
                <c:pt idx="1">
                  <c:v>0.37</c:v>
                </c:pt>
                <c:pt idx="2">
                  <c:v>0.32</c:v>
                </c:pt>
                <c:pt idx="3">
                  <c:v>0.4</c:v>
                </c:pt>
                <c:pt idx="4">
                  <c:v>0.37</c:v>
                </c:pt>
                <c:pt idx="5">
                  <c:v>0.33</c:v>
                </c:pt>
                <c:pt idx="6">
                  <c:v>0.31</c:v>
                </c:pt>
                <c:pt idx="7">
                  <c:v>0.34</c:v>
                </c:pt>
                <c:pt idx="8">
                  <c:v>0.37</c:v>
                </c:pt>
                <c:pt idx="9">
                  <c:v>0.33</c:v>
                </c:pt>
                <c:pt idx="10">
                  <c:v>0.37</c:v>
                </c:pt>
                <c:pt idx="11">
                  <c:v>0.3</c:v>
                </c:pt>
                <c:pt idx="12">
                  <c:v>0.35</c:v>
                </c:pt>
                <c:pt idx="13">
                  <c:v>0.36</c:v>
                </c:pt>
                <c:pt idx="14">
                  <c:v>0.32</c:v>
                </c:pt>
                <c:pt idx="15">
                  <c:v>0.37</c:v>
                </c:pt>
                <c:pt idx="16">
                  <c:v>0.38</c:v>
                </c:pt>
                <c:pt idx="17">
                  <c:v>0.36</c:v>
                </c:pt>
                <c:pt idx="18">
                  <c:v>0.3</c:v>
                </c:pt>
              </c:numCache>
            </c:numRef>
          </c:xVal>
          <c:yVal>
            <c:numRef>
              <c:f>Correlation!$B$91:$B$109</c:f>
              <c:numCache>
                <c:formatCode>General</c:formatCode>
                <c:ptCount val="19"/>
                <c:pt idx="0">
                  <c:v>180</c:v>
                </c:pt>
                <c:pt idx="1">
                  <c:v>170</c:v>
                </c:pt>
                <c:pt idx="2">
                  <c:v>150</c:v>
                </c:pt>
                <c:pt idx="3">
                  <c:v>190</c:v>
                </c:pt>
                <c:pt idx="4">
                  <c:v>210</c:v>
                </c:pt>
                <c:pt idx="5">
                  <c:v>150</c:v>
                </c:pt>
                <c:pt idx="6">
                  <c:v>190</c:v>
                </c:pt>
                <c:pt idx="7">
                  <c:v>185</c:v>
                </c:pt>
                <c:pt idx="8">
                  <c:v>180</c:v>
                </c:pt>
                <c:pt idx="9">
                  <c:v>120</c:v>
                </c:pt>
                <c:pt idx="10">
                  <c:v>205</c:v>
                </c:pt>
                <c:pt idx="11">
                  <c:v>150</c:v>
                </c:pt>
                <c:pt idx="12">
                  <c:v>140</c:v>
                </c:pt>
                <c:pt idx="13">
                  <c:v>150</c:v>
                </c:pt>
                <c:pt idx="14">
                  <c:v>135</c:v>
                </c:pt>
                <c:pt idx="15">
                  <c:v>180</c:v>
                </c:pt>
                <c:pt idx="16">
                  <c:v>130</c:v>
                </c:pt>
                <c:pt idx="17">
                  <c:v>130</c:v>
                </c:pt>
                <c:pt idx="18">
                  <c:v>140</c:v>
                </c:pt>
              </c:numCache>
            </c:numRef>
          </c:yVal>
          <c:smooth val="0"/>
          <c:extLst>
            <c:ext xmlns:c16="http://schemas.microsoft.com/office/drawing/2014/chart" uri="{C3380CC4-5D6E-409C-BE32-E72D297353CC}">
              <c16:uniqueId val="{00000009-1861-468C-A73B-738A59793E26}"/>
            </c:ext>
          </c:extLst>
        </c:ser>
        <c:dLbls>
          <c:showLegendKey val="0"/>
          <c:showVal val="0"/>
          <c:showCatName val="0"/>
          <c:showSerName val="0"/>
          <c:showPercent val="0"/>
          <c:showBubbleSize val="0"/>
        </c:dLbls>
        <c:axId val="1864527535"/>
        <c:axId val="1864530415"/>
      </c:scatterChart>
      <c:valAx>
        <c:axId val="1864527535"/>
        <c:scaling>
          <c:orientation val="minMax"/>
          <c:min val="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Weight</a:t>
                </a:r>
                <a:r>
                  <a:rPr lang="en-GB" baseline="0"/>
                  <a:t> (kg)</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30415"/>
        <c:crosses val="autoZero"/>
        <c:crossBetween val="midCat"/>
      </c:valAx>
      <c:valAx>
        <c:axId val="1864530415"/>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r>
                  <a:rPr lang="en-GB" baseline="0"/>
                  <a:t> Volume (kg)</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27535"/>
        <c:crosses val="autoZero"/>
        <c:crossBetween val="midCat"/>
      </c:valAx>
      <c:spPr>
        <a:noFill/>
        <a:ln>
          <a:noFill/>
        </a:ln>
        <a:effectLst/>
      </c:spPr>
    </c:plotArea>
    <c:legend>
      <c:legendPos val="r"/>
      <c:overlay val="0"/>
      <c:spPr>
        <a:noFill/>
        <a:ln>
          <a:solidFill>
            <a:schemeClr val="lt1">
              <a:shade val="5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[Berries.xlsx]PivotTable!SalesbyYearBerryType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Growth trends for each berry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PivotTable!$B$32:$B$33</c:f>
              <c:strCache>
                <c:ptCount val="1"/>
                <c:pt idx="0">
                  <c:v>Black</c:v>
                </c:pt>
              </c:strCache>
            </c:strRef>
          </c:tx>
          <c:spPr>
            <a:ln w="28575" cap="rnd">
              <a:solidFill>
                <a:schemeClr val="accent1"/>
              </a:solidFill>
              <a:round/>
            </a:ln>
            <a:effectLst/>
          </c:spPr>
          <c:marker>
            <c:symbol val="none"/>
          </c:marker>
          <c:cat>
            <c:multiLvlStrRef>
              <c:f>PivotTable!$A$34:$A$44</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PivotTable!$B$34:$B$44</c:f>
              <c:numCache>
                <c:formatCode>General</c:formatCode>
                <c:ptCount val="8"/>
                <c:pt idx="0">
                  <c:v>6252</c:v>
                </c:pt>
                <c:pt idx="1">
                  <c:v>5736</c:v>
                </c:pt>
                <c:pt idx="2">
                  <c:v>4507</c:v>
                </c:pt>
                <c:pt idx="3">
                  <c:v>6461</c:v>
                </c:pt>
                <c:pt idx="4">
                  <c:v>6094</c:v>
                </c:pt>
                <c:pt idx="5">
                  <c:v>3981.5</c:v>
                </c:pt>
                <c:pt idx="6">
                  <c:v>7241</c:v>
                </c:pt>
                <c:pt idx="7">
                  <c:v>546</c:v>
                </c:pt>
              </c:numCache>
            </c:numRef>
          </c:val>
          <c:smooth val="0"/>
          <c:extLst>
            <c:ext xmlns:c16="http://schemas.microsoft.com/office/drawing/2014/chart" uri="{C3380CC4-5D6E-409C-BE32-E72D297353CC}">
              <c16:uniqueId val="{00000000-2392-4A68-855F-2659F259240C}"/>
            </c:ext>
          </c:extLst>
        </c:ser>
        <c:ser>
          <c:idx val="1"/>
          <c:order val="1"/>
          <c:tx>
            <c:strRef>
              <c:f>PivotTable!$C$32:$C$33</c:f>
              <c:strCache>
                <c:ptCount val="1"/>
                <c:pt idx="0">
                  <c:v>Red</c:v>
                </c:pt>
              </c:strCache>
            </c:strRef>
          </c:tx>
          <c:spPr>
            <a:ln w="28575" cap="rnd">
              <a:solidFill>
                <a:schemeClr val="accent2"/>
              </a:solidFill>
              <a:round/>
            </a:ln>
            <a:effectLst/>
          </c:spPr>
          <c:marker>
            <c:symbol val="none"/>
          </c:marker>
          <c:cat>
            <c:multiLvlStrRef>
              <c:f>PivotTable!$A$34:$A$44</c:f>
              <c:multiLvlStrCache>
                <c:ptCount val="8"/>
                <c:lvl>
                  <c:pt idx="0">
                    <c:v>Qtr1</c:v>
                  </c:pt>
                  <c:pt idx="1">
                    <c:v>Qtr2</c:v>
                  </c:pt>
                  <c:pt idx="2">
                    <c:v>Qtr3</c:v>
                  </c:pt>
                  <c:pt idx="3">
                    <c:v>Qtr4</c:v>
                  </c:pt>
                  <c:pt idx="4">
                    <c:v>Qtr1</c:v>
                  </c:pt>
                  <c:pt idx="5">
                    <c:v>Qtr2</c:v>
                  </c:pt>
                  <c:pt idx="6">
                    <c:v>Qtr3</c:v>
                  </c:pt>
                  <c:pt idx="7">
                    <c:v>Qtr4</c:v>
                  </c:pt>
                </c:lvl>
                <c:lvl>
                  <c:pt idx="0">
                    <c:v>2023</c:v>
                  </c:pt>
                  <c:pt idx="4">
                    <c:v>2024</c:v>
                  </c:pt>
                </c:lvl>
              </c:multiLvlStrCache>
            </c:multiLvlStrRef>
          </c:cat>
          <c:val>
            <c:numRef>
              <c:f>PivotTable!$C$34:$C$44</c:f>
              <c:numCache>
                <c:formatCode>General</c:formatCode>
                <c:ptCount val="8"/>
                <c:pt idx="0">
                  <c:v>4541.5</c:v>
                </c:pt>
                <c:pt idx="1">
                  <c:v>4778</c:v>
                </c:pt>
                <c:pt idx="2">
                  <c:v>6487.5</c:v>
                </c:pt>
                <c:pt idx="3">
                  <c:v>5442</c:v>
                </c:pt>
                <c:pt idx="4">
                  <c:v>4992.5</c:v>
                </c:pt>
                <c:pt idx="5">
                  <c:v>5598.5</c:v>
                </c:pt>
                <c:pt idx="6">
                  <c:v>4760</c:v>
                </c:pt>
                <c:pt idx="7">
                  <c:v>1594</c:v>
                </c:pt>
              </c:numCache>
            </c:numRef>
          </c:val>
          <c:smooth val="0"/>
          <c:extLst>
            <c:ext xmlns:c16="http://schemas.microsoft.com/office/drawing/2014/chart" uri="{C3380CC4-5D6E-409C-BE32-E72D297353CC}">
              <c16:uniqueId val="{00000001-2392-4A68-855F-2659F259240C}"/>
            </c:ext>
          </c:extLst>
        </c:ser>
        <c:dLbls>
          <c:showLegendKey val="0"/>
          <c:showVal val="0"/>
          <c:showCatName val="0"/>
          <c:showSerName val="0"/>
          <c:showPercent val="0"/>
          <c:showBubbleSize val="0"/>
        </c:dLbls>
        <c:smooth val="0"/>
        <c:axId val="1107534479"/>
        <c:axId val="1107534959"/>
      </c:lineChart>
      <c:catAx>
        <c:axId val="1107534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Quarters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534959"/>
        <c:crosses val="autoZero"/>
        <c:auto val="1"/>
        <c:lblAlgn val="ctr"/>
        <c:lblOffset val="100"/>
        <c:noMultiLvlLbl val="0"/>
      </c:catAx>
      <c:valAx>
        <c:axId val="1107534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53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428625</xdr:colOff>
      <xdr:row>26</xdr:row>
      <xdr:rowOff>180975</xdr:rowOff>
    </xdr:from>
    <xdr:to>
      <xdr:col>11</xdr:col>
      <xdr:colOff>123825</xdr:colOff>
      <xdr:row>41</xdr:row>
      <xdr:rowOff>161925</xdr:rowOff>
    </xdr:to>
    <xdr:graphicFrame macro="">
      <xdr:nvGraphicFramePr>
        <xdr:cNvPr id="3" name="Chart 2">
          <a:extLst>
            <a:ext uri="{FF2B5EF4-FFF2-40B4-BE49-F238E27FC236}">
              <a16:creationId xmlns:a16="http://schemas.microsoft.com/office/drawing/2014/main" id="{A25CC422-B8BD-6B1E-E457-B28182949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498475</xdr:colOff>
      <xdr:row>49</xdr:row>
      <xdr:rowOff>136525</xdr:rowOff>
    </xdr:from>
    <xdr:to>
      <xdr:col>11</xdr:col>
      <xdr:colOff>193675</xdr:colOff>
      <xdr:row>64</xdr:row>
      <xdr:rowOff>117475</xdr:rowOff>
    </xdr:to>
    <xdr:graphicFrame macro="">
      <xdr:nvGraphicFramePr>
        <xdr:cNvPr id="4" name="Chart 3">
          <a:extLst>
            <a:ext uri="{FF2B5EF4-FFF2-40B4-BE49-F238E27FC236}">
              <a16:creationId xmlns:a16="http://schemas.microsoft.com/office/drawing/2014/main" id="{132D084A-C212-46C0-C315-F9EE20028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396875</xdr:colOff>
      <xdr:row>70</xdr:row>
      <xdr:rowOff>34925</xdr:rowOff>
    </xdr:from>
    <xdr:to>
      <xdr:col>11</xdr:col>
      <xdr:colOff>92075</xdr:colOff>
      <xdr:row>85</xdr:row>
      <xdr:rowOff>15875</xdr:rowOff>
    </xdr:to>
    <xdr:graphicFrame macro="">
      <xdr:nvGraphicFramePr>
        <xdr:cNvPr id="5" name="Chart 4">
          <a:extLst>
            <a:ext uri="{FF2B5EF4-FFF2-40B4-BE49-F238E27FC236}">
              <a16:creationId xmlns:a16="http://schemas.microsoft.com/office/drawing/2014/main" id="{0107D979-122B-20DF-6C53-8B8B09E72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517525</xdr:colOff>
      <xdr:row>92</xdr:row>
      <xdr:rowOff>174625</xdr:rowOff>
    </xdr:from>
    <xdr:to>
      <xdr:col>11</xdr:col>
      <xdr:colOff>212725</xdr:colOff>
      <xdr:row>107</xdr:row>
      <xdr:rowOff>155575</xdr:rowOff>
    </xdr:to>
    <xdr:graphicFrame macro="">
      <xdr:nvGraphicFramePr>
        <xdr:cNvPr id="6" name="Chart 5">
          <a:extLst>
            <a:ext uri="{FF2B5EF4-FFF2-40B4-BE49-F238E27FC236}">
              <a16:creationId xmlns:a16="http://schemas.microsoft.com/office/drawing/2014/main" id="{0E885273-7127-3418-2ECF-55E759B86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504825</xdr:colOff>
      <xdr:row>3</xdr:row>
      <xdr:rowOff>161925</xdr:rowOff>
    </xdr:from>
    <xdr:to>
      <xdr:col>10</xdr:col>
      <xdr:colOff>117475</xdr:colOff>
      <xdr:row>18</xdr:row>
      <xdr:rowOff>142875</xdr:rowOff>
    </xdr:to>
    <xdr:graphicFrame macro="">
      <xdr:nvGraphicFramePr>
        <xdr:cNvPr id="7" name="Chart 6">
          <a:extLst>
            <a:ext uri="{FF2B5EF4-FFF2-40B4-BE49-F238E27FC236}">
              <a16:creationId xmlns:a16="http://schemas.microsoft.com/office/drawing/2014/main" id="{FCC5A502-3355-2B38-6F71-630C51350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0</xdr:rowOff>
    </xdr:from>
    <xdr:to>
      <xdr:col>12</xdr:col>
      <xdr:colOff>425450</xdr:colOff>
      <xdr:row>24</xdr:row>
      <xdr:rowOff>30726</xdr:rowOff>
    </xdr:to>
    <xdr:graphicFrame macro="">
      <xdr:nvGraphicFramePr>
        <xdr:cNvPr id="4" name="Chart 3">
          <a:extLst>
            <a:ext uri="{FF2B5EF4-FFF2-40B4-BE49-F238E27FC236}">
              <a16:creationId xmlns:a16="http://schemas.microsoft.com/office/drawing/2014/main" id="{7E92C806-0C7D-4489-9163-49B2FDAA6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3</xdr:row>
      <xdr:rowOff>183298</xdr:rowOff>
    </xdr:from>
    <xdr:to>
      <xdr:col>17</xdr:col>
      <xdr:colOff>336550</xdr:colOff>
      <xdr:row>24</xdr:row>
      <xdr:rowOff>14432</xdr:rowOff>
    </xdr:to>
    <xdr:sp macro="" textlink="">
      <xdr:nvSpPr>
        <xdr:cNvPr id="5" name="TextBox 4">
          <a:extLst>
            <a:ext uri="{FF2B5EF4-FFF2-40B4-BE49-F238E27FC236}">
              <a16:creationId xmlns:a16="http://schemas.microsoft.com/office/drawing/2014/main" id="{5785AE05-7CE3-470F-9AA2-BDD783F401B3}"/>
            </a:ext>
          </a:extLst>
        </xdr:cNvPr>
        <xdr:cNvSpPr txBox="1"/>
      </xdr:nvSpPr>
      <xdr:spPr>
        <a:xfrm>
          <a:off x="7879773" y="746139"/>
          <a:ext cx="2761095" cy="377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1) Are there seasonal patterns in berry sales across different regions?</a:t>
          </a:r>
        </a:p>
        <a:p>
          <a:endParaRPr lang="en-GB" sz="1100" b="1"/>
        </a:p>
        <a:p>
          <a:r>
            <a:rPr lang="en-GB" sz="1100" b="0"/>
            <a:t>1)</a:t>
          </a:r>
          <a:r>
            <a:rPr lang="en-GB" sz="1100" b="0" baseline="0"/>
            <a:t> North and South follow similar seasonal patterns with North being delayed by a quarter as compared to the South.</a:t>
          </a:r>
        </a:p>
        <a:p>
          <a:endParaRPr lang="en-GB" sz="1100" b="0" baseline="0"/>
        </a:p>
        <a:p>
          <a:r>
            <a:rPr lang="en-GB" sz="1100" b="0" baseline="0"/>
            <a:t>2) When comparing the Central and West regions, they start similarly for the first 2 quarters, then West gets delayed by a quarter until Qtr2 in 2024 and then differs in Qtr3 until they reach the same value in Qtr4 in 2024.</a:t>
          </a:r>
        </a:p>
        <a:p>
          <a:endParaRPr lang="en-GB" sz="1100" b="0" baseline="0"/>
        </a:p>
        <a:p>
          <a:r>
            <a:rPr lang="en-GB" sz="1100" b="0" baseline="0"/>
            <a:t>3) South and West follow almost opposite trends to each other.</a:t>
          </a:r>
        </a:p>
        <a:p>
          <a:endParaRPr lang="en-GB" sz="1100" b="0" baseline="0"/>
        </a:p>
        <a:p>
          <a:r>
            <a:rPr lang="en-GB" sz="1100" b="0" baseline="0"/>
            <a:t>4) Central and South show a similar trend after Qtr4 in 2023.</a:t>
          </a:r>
        </a:p>
        <a:p>
          <a:endParaRPr lang="en-GB" sz="1100" b="0" baseline="0"/>
        </a:p>
        <a:p>
          <a:r>
            <a:rPr lang="en-GB" sz="1100" b="0" baseline="0"/>
            <a:t>5) Central and North follow very similar trends across the years.</a:t>
          </a:r>
          <a:endParaRPr lang="en-GB" sz="1100" b="0"/>
        </a:p>
      </xdr:txBody>
    </xdr:sp>
    <xdr:clientData/>
  </xdr:twoCellAnchor>
  <xdr:twoCellAnchor editAs="oneCell">
    <xdr:from>
      <xdr:col>0</xdr:col>
      <xdr:colOff>114300</xdr:colOff>
      <xdr:row>4</xdr:row>
      <xdr:rowOff>0</xdr:rowOff>
    </xdr:from>
    <xdr:to>
      <xdr:col>3</xdr:col>
      <xdr:colOff>114300</xdr:colOff>
      <xdr:row>13</xdr:row>
      <xdr:rowOff>152400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AA696FB-5015-3DE9-8945-B1596425F1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00" y="719667"/>
              <a:ext cx="1841500" cy="1771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3</xdr:row>
      <xdr:rowOff>184353</xdr:rowOff>
    </xdr:from>
    <xdr:to>
      <xdr:col>26</xdr:col>
      <xdr:colOff>412750</xdr:colOff>
      <xdr:row>24</xdr:row>
      <xdr:rowOff>20483</xdr:rowOff>
    </xdr:to>
    <xdr:graphicFrame macro="">
      <xdr:nvGraphicFramePr>
        <xdr:cNvPr id="17" name="Chart 16">
          <a:extLst>
            <a:ext uri="{FF2B5EF4-FFF2-40B4-BE49-F238E27FC236}">
              <a16:creationId xmlns:a16="http://schemas.microsoft.com/office/drawing/2014/main" id="{0B4C9A5B-4B93-4ACA-A915-ABE794B8E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4</xdr:row>
      <xdr:rowOff>0</xdr:rowOff>
    </xdr:from>
    <xdr:to>
      <xdr:col>31</xdr:col>
      <xdr:colOff>336549</xdr:colOff>
      <xdr:row>24</xdr:row>
      <xdr:rowOff>10242</xdr:rowOff>
    </xdr:to>
    <xdr:sp macro="" textlink="">
      <xdr:nvSpPr>
        <xdr:cNvPr id="18" name="TextBox 17">
          <a:extLst>
            <a:ext uri="{FF2B5EF4-FFF2-40B4-BE49-F238E27FC236}">
              <a16:creationId xmlns:a16="http://schemas.microsoft.com/office/drawing/2014/main" id="{1E478B8C-FA81-44CC-BF1C-EB6488E35AB4}"/>
            </a:ext>
          </a:extLst>
        </xdr:cNvPr>
        <xdr:cNvSpPr txBox="1"/>
      </xdr:nvSpPr>
      <xdr:spPr>
        <a:xfrm>
          <a:off x="16591935" y="737419"/>
          <a:ext cx="2794614" cy="3697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2) How does demand for red berries compare to black berries across regions?</a:t>
          </a:r>
        </a:p>
        <a:p>
          <a:endParaRPr lang="en-GB" sz="1100" b="1"/>
        </a:p>
        <a:p>
          <a:r>
            <a:rPr lang="en-GB" sz="1100" b="0"/>
            <a:t>1)</a:t>
          </a:r>
          <a:r>
            <a:rPr lang="en-GB" sz="1100" b="0" baseline="0"/>
            <a:t> Demand for black berries differs between regions whilst demand for red berries are similar across each region.</a:t>
          </a:r>
        </a:p>
        <a:p>
          <a:endParaRPr lang="en-GB" sz="1100" b="0" baseline="0"/>
        </a:p>
        <a:p>
          <a:r>
            <a:rPr lang="en-GB" sz="1100" b="0" baseline="0"/>
            <a:t>2) Demand for black berries is similar within the regions of Central, North &amp; West whilst demand for red berries is similar within Central &amp; South, as well as North &amp; East.</a:t>
          </a:r>
        </a:p>
        <a:p>
          <a:endParaRPr lang="en-GB" sz="1100" b="0" baseline="0"/>
        </a:p>
        <a:p>
          <a:r>
            <a:rPr lang="en-GB" sz="1100" b="0" baseline="0"/>
            <a:t>3) Demand for black and red berries are similar in the Central and Northern regions but differs significantly elsewhere.</a:t>
          </a:r>
        </a:p>
        <a:p>
          <a:endParaRPr lang="en-GB" sz="1100" b="0" baseline="0"/>
        </a:p>
        <a:p>
          <a:r>
            <a:rPr lang="en-GB" sz="1100" b="0" baseline="0"/>
            <a:t>4) East is the only region where red berries are of higher demand when compared to black berries.</a:t>
          </a:r>
          <a:endParaRPr lang="en-GB" sz="1100" b="0"/>
        </a:p>
      </xdr:txBody>
    </xdr:sp>
    <xdr:clientData/>
  </xdr:twoCellAnchor>
  <xdr:twoCellAnchor>
    <xdr:from>
      <xdr:col>4</xdr:col>
      <xdr:colOff>0</xdr:colOff>
      <xdr:row>25</xdr:row>
      <xdr:rowOff>0</xdr:rowOff>
    </xdr:from>
    <xdr:to>
      <xdr:col>12</xdr:col>
      <xdr:colOff>450850</xdr:colOff>
      <xdr:row>42</xdr:row>
      <xdr:rowOff>31750</xdr:rowOff>
    </xdr:to>
    <xdr:graphicFrame macro="">
      <xdr:nvGraphicFramePr>
        <xdr:cNvPr id="19" name="Chart 18">
          <a:extLst>
            <a:ext uri="{FF2B5EF4-FFF2-40B4-BE49-F238E27FC236}">
              <a16:creationId xmlns:a16="http://schemas.microsoft.com/office/drawing/2014/main" id="{CA77A45A-EFEC-4421-B693-8CC7533F7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25</xdr:row>
      <xdr:rowOff>0</xdr:rowOff>
    </xdr:from>
    <xdr:to>
      <xdr:col>17</xdr:col>
      <xdr:colOff>336550</xdr:colOff>
      <xdr:row>42</xdr:row>
      <xdr:rowOff>38100</xdr:rowOff>
    </xdr:to>
    <xdr:sp macro="" textlink="">
      <xdr:nvSpPr>
        <xdr:cNvPr id="20" name="TextBox 19">
          <a:extLst>
            <a:ext uri="{FF2B5EF4-FFF2-40B4-BE49-F238E27FC236}">
              <a16:creationId xmlns:a16="http://schemas.microsoft.com/office/drawing/2014/main" id="{00DB16A3-E499-49E0-8AE0-10FDF959386C}"/>
            </a:ext>
          </a:extLst>
        </xdr:cNvPr>
        <xdr:cNvSpPr txBox="1"/>
      </xdr:nvSpPr>
      <xdr:spPr>
        <a:xfrm>
          <a:off x="7988710" y="4608871"/>
          <a:ext cx="2794614" cy="317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3) Can any correlations be drawn between average berry weight and regional sales volume?</a:t>
          </a:r>
        </a:p>
        <a:p>
          <a:endParaRPr lang="en-GB" sz="1100" b="1"/>
        </a:p>
        <a:p>
          <a:r>
            <a:rPr lang="en-GB" sz="1100" b="0"/>
            <a:t>1)</a:t>
          </a:r>
          <a:r>
            <a:rPr lang="en-GB" sz="1100" b="0" baseline="0"/>
            <a:t> Both the Central and Western regions have a moderate positive correlation with an R value close to 0.5. This means that there is a moderate increase in sales volume as the berry weight increases.</a:t>
          </a:r>
        </a:p>
        <a:p>
          <a:endParaRPr lang="en-GB" sz="1100" b="0" baseline="0"/>
        </a:p>
        <a:p>
          <a:r>
            <a:rPr lang="en-GB" sz="1100" b="0" baseline="0"/>
            <a:t>2) The is virtually no correlation in the Eastern region as the line is almost flat. It has an R value of 0.002 (3.s.f.).</a:t>
          </a:r>
        </a:p>
        <a:p>
          <a:endParaRPr lang="en-GB" sz="1100" b="0" baseline="0"/>
        </a:p>
        <a:p>
          <a:r>
            <a:rPr lang="en-GB" sz="1100" b="0" baseline="0"/>
            <a:t>3) North and South show a slight correlation with North being negative (R value close to -0.2) and South being positive (R value close to 0.2).</a:t>
          </a:r>
        </a:p>
      </xdr:txBody>
    </xdr:sp>
    <xdr:clientData/>
  </xdr:twoCellAnchor>
  <xdr:twoCellAnchor>
    <xdr:from>
      <xdr:col>17</xdr:col>
      <xdr:colOff>606460</xdr:colOff>
      <xdr:row>25</xdr:row>
      <xdr:rowOff>0</xdr:rowOff>
    </xdr:from>
    <xdr:to>
      <xdr:col>26</xdr:col>
      <xdr:colOff>428088</xdr:colOff>
      <xdr:row>41</xdr:row>
      <xdr:rowOff>171236</xdr:rowOff>
    </xdr:to>
    <xdr:graphicFrame macro="">
      <xdr:nvGraphicFramePr>
        <xdr:cNvPr id="21" name="Chart 20">
          <a:extLst>
            <a:ext uri="{FF2B5EF4-FFF2-40B4-BE49-F238E27FC236}">
              <a16:creationId xmlns:a16="http://schemas.microsoft.com/office/drawing/2014/main" id="{E437D9D8-04BE-4CE8-BEFB-930311806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25</xdr:row>
      <xdr:rowOff>0</xdr:rowOff>
    </xdr:from>
    <xdr:to>
      <xdr:col>31</xdr:col>
      <xdr:colOff>336549</xdr:colOff>
      <xdr:row>41</xdr:row>
      <xdr:rowOff>158750</xdr:rowOff>
    </xdr:to>
    <xdr:sp macro="" textlink="">
      <xdr:nvSpPr>
        <xdr:cNvPr id="22" name="TextBox 21">
          <a:extLst>
            <a:ext uri="{FF2B5EF4-FFF2-40B4-BE49-F238E27FC236}">
              <a16:creationId xmlns:a16="http://schemas.microsoft.com/office/drawing/2014/main" id="{2C98CE8D-7538-46C1-8E65-385442A81EE3}"/>
            </a:ext>
          </a:extLst>
        </xdr:cNvPr>
        <xdr:cNvSpPr txBox="1"/>
      </xdr:nvSpPr>
      <xdr:spPr>
        <a:xfrm>
          <a:off x="16459200" y="4603750"/>
          <a:ext cx="2774949" cy="310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4) What are the sales growth trends for each berry type across the last two years?</a:t>
          </a:r>
        </a:p>
        <a:p>
          <a:endParaRPr lang="en-GB" sz="1100" b="1"/>
        </a:p>
        <a:p>
          <a:r>
            <a:rPr lang="en-GB" sz="1100" b="0"/>
            <a:t>1)</a:t>
          </a:r>
          <a:r>
            <a:rPr lang="en-GB" sz="1100" b="0" baseline="0"/>
            <a:t> The sales of the black berries fluctuate a bit (more than red) and then peaks at Qtr3 in 2024.</a:t>
          </a:r>
        </a:p>
        <a:p>
          <a:endParaRPr lang="en-GB" sz="1100" b="0" baseline="0"/>
        </a:p>
        <a:p>
          <a:r>
            <a:rPr lang="en-GB" sz="1100" b="0" baseline="0"/>
            <a:t>2) The sales of the red berries remain relatively consistent until after Qtr3 in 2024.</a:t>
          </a:r>
        </a:p>
        <a:p>
          <a:endParaRPr lang="en-GB" sz="1100" b="0" baseline="0"/>
        </a:p>
        <a:p>
          <a:r>
            <a:rPr lang="en-GB" sz="1100" b="0" baseline="0"/>
            <a:t>3) Both suffer their worse period in Qtr4 in 2024.</a:t>
          </a:r>
        </a:p>
        <a:p>
          <a:endParaRPr lang="en-GB" sz="1100" b="0" baseline="0"/>
        </a:p>
        <a:p>
          <a:r>
            <a:rPr lang="en-GB" sz="1100" b="0" baseline="0"/>
            <a:t>4) The red berries follow an opposite trend to the black berries almost throughout the 2-year period.</a:t>
          </a:r>
          <a:endParaRPr lang="en-GB" sz="1100" b="0"/>
        </a:p>
      </xdr:txBody>
    </xdr:sp>
    <xdr:clientData/>
  </xdr:twoCellAnchor>
  <xdr:twoCellAnchor>
    <xdr:from>
      <xdr:col>13</xdr:col>
      <xdr:colOff>490979</xdr:colOff>
      <xdr:row>0</xdr:row>
      <xdr:rowOff>137474</xdr:rowOff>
    </xdr:from>
    <xdr:to>
      <xdr:col>20</xdr:col>
      <xdr:colOff>504072</xdr:colOff>
      <xdr:row>3</xdr:row>
      <xdr:rowOff>39278</xdr:rowOff>
    </xdr:to>
    <xdr:sp macro="" textlink="">
      <xdr:nvSpPr>
        <xdr:cNvPr id="23" name="TextBox 22">
          <a:extLst>
            <a:ext uri="{FF2B5EF4-FFF2-40B4-BE49-F238E27FC236}">
              <a16:creationId xmlns:a16="http://schemas.microsoft.com/office/drawing/2014/main" id="{BF32973D-DD79-DC8B-146A-0994306CFEA0}"/>
            </a:ext>
          </a:extLst>
        </xdr:cNvPr>
        <xdr:cNvSpPr txBox="1"/>
      </xdr:nvSpPr>
      <xdr:spPr>
        <a:xfrm>
          <a:off x="8405567" y="137474"/>
          <a:ext cx="4274794" cy="451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t>Dashboard - WIDL! Berries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ph Adu-Twum" refreshedDate="46031.728204166669" createdVersion="8" refreshedVersion="8" minRefreshableVersion="3" recordCount="95" xr:uid="{936176FD-2AD8-48A7-BD01-6BE634C2C4D0}">
  <cacheSource type="worksheet">
    <worksheetSource name="practice_dataset_excel_practical_task"/>
  </cacheSource>
  <cacheFields count="10">
    <cacheField name="Date" numFmtId="14">
      <sharedItems containsSemiMixedTypes="0" containsNonDate="0" containsDate="1" containsString="0" minDate="2023-01-01T00:00:00" maxDate="2024-10-21T00:00:00" count="95">
        <d v="2023-01-01T00:00:00"/>
        <d v="2023-01-08T00:00:00"/>
        <d v="2023-01-15T00:00:00"/>
        <d v="2023-01-22T00:00:00"/>
        <d v="2023-01-29T00:00:00"/>
        <d v="2023-02-05T00:00:00"/>
        <d v="2023-02-12T00:00:00"/>
        <d v="2023-02-19T00:00:00"/>
        <d v="2023-02-26T00:00:00"/>
        <d v="2023-03-05T00:00:00"/>
        <d v="2023-03-12T00:00:00"/>
        <d v="2023-03-19T00:00:00"/>
        <d v="2023-03-26T00:00:00"/>
        <d v="2023-04-02T00:00:00"/>
        <d v="2023-04-09T00:00:00"/>
        <d v="2023-04-16T00:00:00"/>
        <d v="2023-04-23T00:00:00"/>
        <d v="2023-04-30T00:00:00"/>
        <d v="2023-05-07T00:00:00"/>
        <d v="2023-05-14T00:00:00"/>
        <d v="2023-05-21T00:00:00"/>
        <d v="2023-05-28T00:00:00"/>
        <d v="2023-06-04T00:00:00"/>
        <d v="2023-06-11T00:00:00"/>
        <d v="2023-06-18T00:00:00"/>
        <d v="2023-06-25T00:00:00"/>
        <d v="2023-07-02T00:00:00"/>
        <d v="2023-07-09T00:00:00"/>
        <d v="2023-07-16T00:00:00"/>
        <d v="2023-07-23T00:00:00"/>
        <d v="2023-07-30T00:00:00"/>
        <d v="2023-08-06T00:00:00"/>
        <d v="2023-08-13T00:00:00"/>
        <d v="2023-08-20T00:00:00"/>
        <d v="2023-08-27T00:00:00"/>
        <d v="2023-09-03T00:00:00"/>
        <d v="2023-09-10T00:00:00"/>
        <d v="2023-09-17T00:00:00"/>
        <d v="2023-09-24T00:00:00"/>
        <d v="2023-10-01T00:00:00"/>
        <d v="2023-10-08T00:00:00"/>
        <d v="2023-10-15T00:00:00"/>
        <d v="2023-10-22T00:00:00"/>
        <d v="2023-10-29T00:00:00"/>
        <d v="2023-11-05T00:00:00"/>
        <d v="2023-11-12T00:00:00"/>
        <d v="2023-11-19T00:00:00"/>
        <d v="2023-11-26T00:00:00"/>
        <d v="2023-12-03T00:00:00"/>
        <d v="2023-12-10T00:00:00"/>
        <d v="2023-12-17T00:00:00"/>
        <d v="2023-12-24T00:00:00"/>
        <d v="2023-12-31T00:00:00"/>
        <d v="2024-01-07T00:00:00"/>
        <d v="2024-01-14T00:00:00"/>
        <d v="2024-01-21T00:00:00"/>
        <d v="2024-01-28T00:00:00"/>
        <d v="2024-02-04T00:00:00"/>
        <d v="2024-02-11T00:00:00"/>
        <d v="2024-02-18T00:00:00"/>
        <d v="2024-02-25T00:00:00"/>
        <d v="2024-03-03T00:00:00"/>
        <d v="2024-03-10T00:00:00"/>
        <d v="2024-03-17T00:00:00"/>
        <d v="2024-03-24T00:00:00"/>
        <d v="2024-03-31T00:00:00"/>
        <d v="2024-04-07T00:00:00"/>
        <d v="2024-04-14T00:00:00"/>
        <d v="2024-04-21T00:00:00"/>
        <d v="2024-04-28T00:00:00"/>
        <d v="2024-05-05T00:00:00"/>
        <d v="2024-05-12T00:00:00"/>
        <d v="2024-05-19T00:00:00"/>
        <d v="2024-05-26T00:00:00"/>
        <d v="2024-06-02T00:00:00"/>
        <d v="2024-06-09T00:00:00"/>
        <d v="2024-06-16T00:00:00"/>
        <d v="2024-06-23T00:00:00"/>
        <d v="2024-06-30T00:00:00"/>
        <d v="2024-07-07T00:00:00"/>
        <d v="2024-07-14T00:00:00"/>
        <d v="2024-07-21T00:00:00"/>
        <d v="2024-07-28T00:00:00"/>
        <d v="2024-08-04T00:00:00"/>
        <d v="2024-08-11T00:00:00"/>
        <d v="2024-08-18T00:00:00"/>
        <d v="2024-08-25T00:00:00"/>
        <d v="2024-09-01T00:00:00"/>
        <d v="2024-09-08T00:00:00"/>
        <d v="2024-09-15T00:00:00"/>
        <d v="2024-09-22T00:00:00"/>
        <d v="2024-09-29T00:00:00"/>
        <d v="2024-10-06T00:00:00"/>
        <d v="2024-10-13T00:00:00"/>
        <d v="2024-10-20T00:00:00"/>
      </sharedItems>
      <fieldGroup par="9"/>
    </cacheField>
    <cacheField name="Region" numFmtId="0">
      <sharedItems count="5">
        <s v="North"/>
        <s v="South"/>
        <s v="East"/>
        <s v="West"/>
        <s v="Central"/>
      </sharedItems>
    </cacheField>
    <cacheField name="Berry_Type" numFmtId="0">
      <sharedItems count="2">
        <s v="Red"/>
        <s v="Black"/>
      </sharedItems>
    </cacheField>
    <cacheField name="Average_Weight_kg" numFmtId="0">
      <sharedItems containsSemiMixedTypes="0" containsString="0" containsNumber="1" minValue="0.27" maxValue="0.45"/>
    </cacheField>
    <cacheField name="Price_per_kg" numFmtId="0">
      <sharedItems containsSemiMixedTypes="0" containsString="0" containsNumber="1" minValue="3.6" maxValue="6.5"/>
    </cacheField>
    <cacheField name="Sales_Volume_kg" numFmtId="0">
      <sharedItems containsSemiMixedTypes="0" containsString="0" containsNumber="1" containsInteger="1" minValue="110" maxValue="240"/>
    </cacheField>
    <cacheField name="Sales" numFmtId="0">
      <sharedItems containsSemiMixedTypes="0" containsString="0" containsNumber="1" minValue="450" maxValue="1426"/>
    </cacheField>
    <cacheField name="Months (Date)" numFmtId="0" databaseField="0">
      <fieldGroup base="0">
        <rangePr groupBy="months" startDate="2023-01-01T00:00:00" endDate="2024-10-21T00:00:00"/>
        <groupItems count="14">
          <s v="&lt;01/01/2023"/>
          <s v="Jan"/>
          <s v="Feb"/>
          <s v="Mar"/>
          <s v="Apr"/>
          <s v="May"/>
          <s v="Jun"/>
          <s v="Jul"/>
          <s v="Aug"/>
          <s v="Sep"/>
          <s v="Oct"/>
          <s v="Nov"/>
          <s v="Dec"/>
          <s v="&gt;21/10/2024"/>
        </groupItems>
      </fieldGroup>
    </cacheField>
    <cacheField name="Quarters (Date)" numFmtId="0" databaseField="0">
      <fieldGroup base="0">
        <rangePr groupBy="quarters" startDate="2023-01-01T00:00:00" endDate="2024-10-21T00:00:00"/>
        <groupItems count="6">
          <s v="&lt;01/01/2023"/>
          <s v="Qtr1"/>
          <s v="Qtr2"/>
          <s v="Qtr3"/>
          <s v="Qtr4"/>
          <s v="&gt;21/10/2024"/>
        </groupItems>
      </fieldGroup>
    </cacheField>
    <cacheField name="Years (Date)" numFmtId="0" databaseField="0">
      <fieldGroup base="0">
        <rangePr groupBy="years" startDate="2023-01-01T00:00:00" endDate="2024-10-21T00:00:00"/>
        <groupItems count="4">
          <s v="&lt;01/01/2023"/>
          <s v="2023"/>
          <s v="2024"/>
          <s v="&gt;21/10/2024"/>
        </groupItems>
      </fieldGroup>
    </cacheField>
  </cacheFields>
  <extLst>
    <ext xmlns:x14="http://schemas.microsoft.com/office/spreadsheetml/2009/9/main" uri="{725AE2AE-9491-48be-B2B4-4EB974FC3084}">
      <x14:pivotCacheDefinition pivotCacheId="235975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x v="0"/>
    <x v="0"/>
    <n v="0.33"/>
    <n v="4.2"/>
    <n v="150"/>
    <n v="630"/>
  </r>
  <r>
    <x v="1"/>
    <x v="1"/>
    <x v="1"/>
    <n v="0.45"/>
    <n v="6.5"/>
    <n v="200"/>
    <n v="1300"/>
  </r>
  <r>
    <x v="2"/>
    <x v="2"/>
    <x v="0"/>
    <n v="0.39"/>
    <n v="3.75"/>
    <n v="120"/>
    <n v="450"/>
  </r>
  <r>
    <x v="3"/>
    <x v="3"/>
    <x v="1"/>
    <n v="0.42"/>
    <n v="5.0999999999999996"/>
    <n v="180"/>
    <n v="917.99999999999989"/>
  </r>
  <r>
    <x v="4"/>
    <x v="4"/>
    <x v="0"/>
    <n v="0.36"/>
    <n v="4.8"/>
    <n v="160"/>
    <n v="768"/>
  </r>
  <r>
    <x v="5"/>
    <x v="0"/>
    <x v="1"/>
    <n v="0.44"/>
    <n v="6.3"/>
    <n v="220"/>
    <n v="1386"/>
  </r>
  <r>
    <x v="6"/>
    <x v="1"/>
    <x v="0"/>
    <n v="0.28000000000000003"/>
    <n v="3.9"/>
    <n v="190"/>
    <n v="741"/>
  </r>
  <r>
    <x v="7"/>
    <x v="2"/>
    <x v="1"/>
    <n v="0.35"/>
    <n v="4"/>
    <n v="140"/>
    <n v="560"/>
  </r>
  <r>
    <x v="8"/>
    <x v="3"/>
    <x v="0"/>
    <n v="0.37"/>
    <n v="5.5"/>
    <n v="170"/>
    <n v="935"/>
  </r>
  <r>
    <x v="9"/>
    <x v="4"/>
    <x v="1"/>
    <n v="0.41"/>
    <n v="3.6"/>
    <n v="230"/>
    <n v="828"/>
  </r>
  <r>
    <x v="10"/>
    <x v="0"/>
    <x v="0"/>
    <n v="0.28999999999999998"/>
    <n v="4.7"/>
    <n v="110"/>
    <n v="517"/>
  </r>
  <r>
    <x v="11"/>
    <x v="1"/>
    <x v="1"/>
    <n v="0.43"/>
    <n v="6"/>
    <n v="210"/>
    <n v="1260"/>
  </r>
  <r>
    <x v="12"/>
    <x v="2"/>
    <x v="0"/>
    <n v="0.31"/>
    <n v="3.85"/>
    <n v="130"/>
    <n v="500.5"/>
  </r>
  <r>
    <x v="13"/>
    <x v="3"/>
    <x v="1"/>
    <n v="0.32"/>
    <n v="5.2"/>
    <n v="150"/>
    <n v="780"/>
  </r>
  <r>
    <x v="14"/>
    <x v="4"/>
    <x v="0"/>
    <n v="0.38"/>
    <n v="4.5999999999999996"/>
    <n v="180"/>
    <n v="827.99999999999989"/>
  </r>
  <r>
    <x v="15"/>
    <x v="0"/>
    <x v="1"/>
    <n v="0.36"/>
    <n v="4.9000000000000004"/>
    <n v="160"/>
    <n v="784"/>
  </r>
  <r>
    <x v="16"/>
    <x v="1"/>
    <x v="0"/>
    <n v="0.27"/>
    <n v="3.95"/>
    <n v="170"/>
    <n v="671.5"/>
  </r>
  <r>
    <x v="17"/>
    <x v="2"/>
    <x v="1"/>
    <n v="0.34"/>
    <n v="5"/>
    <n v="145"/>
    <n v="725"/>
  </r>
  <r>
    <x v="18"/>
    <x v="3"/>
    <x v="0"/>
    <n v="0.4"/>
    <n v="4.3"/>
    <n v="190"/>
    <n v="817"/>
  </r>
  <r>
    <x v="19"/>
    <x v="4"/>
    <x v="1"/>
    <n v="0.41"/>
    <n v="4.75"/>
    <n v="220"/>
    <n v="1045"/>
  </r>
  <r>
    <x v="20"/>
    <x v="0"/>
    <x v="0"/>
    <n v="0.3"/>
    <n v="5.3"/>
    <n v="135"/>
    <n v="715.5"/>
  </r>
  <r>
    <x v="21"/>
    <x v="1"/>
    <x v="1"/>
    <n v="0.39"/>
    <n v="4.0999999999999996"/>
    <n v="160"/>
    <n v="656"/>
  </r>
  <r>
    <x v="22"/>
    <x v="2"/>
    <x v="0"/>
    <n v="0.32"/>
    <n v="5.4"/>
    <n v="170"/>
    <n v="918.00000000000011"/>
  </r>
  <r>
    <x v="23"/>
    <x v="3"/>
    <x v="1"/>
    <n v="0.37"/>
    <n v="3.7"/>
    <n v="210"/>
    <n v="777"/>
  </r>
  <r>
    <x v="24"/>
    <x v="4"/>
    <x v="0"/>
    <n v="0.35"/>
    <n v="4.5999999999999996"/>
    <n v="180"/>
    <n v="827.99999999999989"/>
  </r>
  <r>
    <x v="25"/>
    <x v="0"/>
    <x v="1"/>
    <n v="0.3"/>
    <n v="5.0999999999999996"/>
    <n v="190"/>
    <n v="968.99999999999989"/>
  </r>
  <r>
    <x v="26"/>
    <x v="1"/>
    <x v="0"/>
    <n v="0.34"/>
    <n v="6"/>
    <n v="200"/>
    <n v="1200"/>
  </r>
  <r>
    <x v="27"/>
    <x v="2"/>
    <x v="1"/>
    <n v="0.39"/>
    <n v="4.8"/>
    <n v="120"/>
    <n v="576"/>
  </r>
  <r>
    <x v="28"/>
    <x v="3"/>
    <x v="0"/>
    <n v="0.33"/>
    <n v="4.95"/>
    <n v="150"/>
    <n v="742.5"/>
  </r>
  <r>
    <x v="29"/>
    <x v="4"/>
    <x v="1"/>
    <n v="0.36"/>
    <n v="4.2"/>
    <n v="230"/>
    <n v="966"/>
  </r>
  <r>
    <x v="30"/>
    <x v="0"/>
    <x v="0"/>
    <n v="0.37"/>
    <n v="5.8"/>
    <n v="140"/>
    <n v="812"/>
  </r>
  <r>
    <x v="31"/>
    <x v="1"/>
    <x v="1"/>
    <n v="0.44"/>
    <n v="3.9"/>
    <n v="210"/>
    <n v="819"/>
  </r>
  <r>
    <x v="32"/>
    <x v="2"/>
    <x v="0"/>
    <n v="0.4"/>
    <n v="4.5"/>
    <n v="150"/>
    <n v="675"/>
  </r>
  <r>
    <x v="33"/>
    <x v="3"/>
    <x v="1"/>
    <n v="0.31"/>
    <n v="5.2"/>
    <n v="190"/>
    <n v="988"/>
  </r>
  <r>
    <x v="34"/>
    <x v="4"/>
    <x v="0"/>
    <n v="0.28999999999999998"/>
    <n v="6.1"/>
    <n v="175"/>
    <n v="1067.5"/>
  </r>
  <r>
    <x v="35"/>
    <x v="0"/>
    <x v="1"/>
    <n v="0.42"/>
    <n v="3.8"/>
    <n v="160"/>
    <n v="608"/>
  </r>
  <r>
    <x v="36"/>
    <x v="1"/>
    <x v="0"/>
    <n v="0.35"/>
    <n v="5.6"/>
    <n v="220"/>
    <n v="1232"/>
  </r>
  <r>
    <x v="37"/>
    <x v="2"/>
    <x v="1"/>
    <n v="0.28000000000000003"/>
    <n v="5"/>
    <n v="110"/>
    <n v="550"/>
  </r>
  <r>
    <x v="38"/>
    <x v="3"/>
    <x v="0"/>
    <n v="0.34"/>
    <n v="4.0999999999999996"/>
    <n v="185"/>
    <n v="758.49999999999989"/>
  </r>
  <r>
    <x v="39"/>
    <x v="4"/>
    <x v="1"/>
    <n v="0.38"/>
    <n v="4.7"/>
    <n v="130"/>
    <n v="611"/>
  </r>
  <r>
    <x v="40"/>
    <x v="0"/>
    <x v="0"/>
    <n v="0.4"/>
    <n v="6.2"/>
    <n v="115"/>
    <n v="713"/>
  </r>
  <r>
    <x v="41"/>
    <x v="1"/>
    <x v="1"/>
    <n v="0.28999999999999998"/>
    <n v="5.4"/>
    <n v="240"/>
    <n v="1296"/>
  </r>
  <r>
    <x v="42"/>
    <x v="2"/>
    <x v="0"/>
    <n v="0.36"/>
    <n v="4.3"/>
    <n v="170"/>
    <n v="731"/>
  </r>
  <r>
    <x v="43"/>
    <x v="3"/>
    <x v="1"/>
    <n v="0.37"/>
    <n v="3.75"/>
    <n v="180"/>
    <n v="675"/>
  </r>
  <r>
    <x v="44"/>
    <x v="4"/>
    <x v="0"/>
    <n v="0.32"/>
    <n v="4.8"/>
    <n v="160"/>
    <n v="768"/>
  </r>
  <r>
    <x v="45"/>
    <x v="0"/>
    <x v="1"/>
    <n v="0.39"/>
    <n v="6"/>
    <n v="230"/>
    <n v="1380"/>
  </r>
  <r>
    <x v="46"/>
    <x v="1"/>
    <x v="0"/>
    <n v="0.31"/>
    <n v="4"/>
    <n v="150"/>
    <n v="600"/>
  </r>
  <r>
    <x v="47"/>
    <x v="2"/>
    <x v="1"/>
    <n v="0.42"/>
    <n v="3.9"/>
    <n v="170"/>
    <n v="663"/>
  </r>
  <r>
    <x v="48"/>
    <x v="3"/>
    <x v="0"/>
    <n v="0.33"/>
    <n v="5.5"/>
    <n v="120"/>
    <n v="660"/>
  </r>
  <r>
    <x v="49"/>
    <x v="4"/>
    <x v="1"/>
    <n v="0.41"/>
    <n v="4.5"/>
    <n v="200"/>
    <n v="900"/>
  </r>
  <r>
    <x v="50"/>
    <x v="0"/>
    <x v="0"/>
    <n v="0.35"/>
    <n v="5.0999999999999996"/>
    <n v="210"/>
    <n v="1071"/>
  </r>
  <r>
    <x v="51"/>
    <x v="1"/>
    <x v="1"/>
    <n v="0.31"/>
    <n v="4.8"/>
    <n v="195"/>
    <n v="936"/>
  </r>
  <r>
    <x v="52"/>
    <x v="2"/>
    <x v="0"/>
    <n v="0.43"/>
    <n v="6.2"/>
    <n v="145"/>
    <n v="899"/>
  </r>
  <r>
    <x v="53"/>
    <x v="3"/>
    <x v="1"/>
    <n v="0.37"/>
    <n v="4.9000000000000004"/>
    <n v="205"/>
    <n v="1004.5000000000001"/>
  </r>
  <r>
    <x v="54"/>
    <x v="4"/>
    <x v="0"/>
    <n v="0.28999999999999998"/>
    <n v="3.7"/>
    <n v="160"/>
    <n v="592"/>
  </r>
  <r>
    <x v="55"/>
    <x v="0"/>
    <x v="1"/>
    <n v="0.39"/>
    <n v="5.3"/>
    <n v="180"/>
    <n v="954"/>
  </r>
  <r>
    <x v="56"/>
    <x v="1"/>
    <x v="0"/>
    <n v="0.42"/>
    <n v="4.4000000000000004"/>
    <n v="210"/>
    <n v="924.00000000000011"/>
  </r>
  <r>
    <x v="57"/>
    <x v="2"/>
    <x v="1"/>
    <n v="0.4"/>
    <n v="5.9"/>
    <n v="200"/>
    <n v="1180"/>
  </r>
  <r>
    <x v="58"/>
    <x v="3"/>
    <x v="0"/>
    <n v="0.3"/>
    <n v="4.8"/>
    <n v="150"/>
    <n v="720"/>
  </r>
  <r>
    <x v="59"/>
    <x v="4"/>
    <x v="1"/>
    <n v="0.33"/>
    <n v="3.75"/>
    <n v="130"/>
    <n v="487.5"/>
  </r>
  <r>
    <x v="60"/>
    <x v="0"/>
    <x v="0"/>
    <n v="0.44"/>
    <n v="5.0999999999999996"/>
    <n v="220"/>
    <n v="1122"/>
  </r>
  <r>
    <x v="61"/>
    <x v="1"/>
    <x v="1"/>
    <n v="0.36"/>
    <n v="4.5999999999999996"/>
    <n v="170"/>
    <n v="781.99999999999989"/>
  </r>
  <r>
    <x v="62"/>
    <x v="2"/>
    <x v="0"/>
    <n v="0.31"/>
    <n v="4"/>
    <n v="190"/>
    <n v="760"/>
  </r>
  <r>
    <x v="63"/>
    <x v="3"/>
    <x v="1"/>
    <n v="0.35"/>
    <n v="6"/>
    <n v="140"/>
    <n v="840"/>
  </r>
  <r>
    <x v="64"/>
    <x v="4"/>
    <x v="0"/>
    <n v="0.38"/>
    <n v="5.3"/>
    <n v="165"/>
    <n v="874.5"/>
  </r>
  <r>
    <x v="65"/>
    <x v="0"/>
    <x v="1"/>
    <n v="0.32"/>
    <n v="4.7"/>
    <n v="180"/>
    <n v="846"/>
  </r>
  <r>
    <x v="66"/>
    <x v="1"/>
    <x v="0"/>
    <n v="0.27"/>
    <n v="4.0999999999999996"/>
    <n v="195"/>
    <n v="799.49999999999989"/>
  </r>
  <r>
    <x v="67"/>
    <x v="2"/>
    <x v="1"/>
    <n v="0.37"/>
    <n v="5.2"/>
    <n v="120"/>
    <n v="624"/>
  </r>
  <r>
    <x v="68"/>
    <x v="3"/>
    <x v="0"/>
    <n v="0.36"/>
    <n v="3.9"/>
    <n v="150"/>
    <n v="585"/>
  </r>
  <r>
    <x v="69"/>
    <x v="4"/>
    <x v="1"/>
    <n v="0.41"/>
    <n v="5"/>
    <n v="180"/>
    <n v="900"/>
  </r>
  <r>
    <x v="70"/>
    <x v="0"/>
    <x v="0"/>
    <n v="0.4"/>
    <n v="4.4000000000000004"/>
    <n v="210"/>
    <n v="924.00000000000011"/>
  </r>
  <r>
    <x v="71"/>
    <x v="1"/>
    <x v="1"/>
    <n v="0.3"/>
    <n v="5.0999999999999996"/>
    <n v="140"/>
    <n v="714"/>
  </r>
  <r>
    <x v="72"/>
    <x v="2"/>
    <x v="0"/>
    <n v="0.28999999999999998"/>
    <n v="6"/>
    <n v="160"/>
    <n v="960"/>
  </r>
  <r>
    <x v="73"/>
    <x v="3"/>
    <x v="1"/>
    <n v="0.32"/>
    <n v="4.9000000000000004"/>
    <n v="135"/>
    <n v="661.5"/>
  </r>
  <r>
    <x v="74"/>
    <x v="4"/>
    <x v="0"/>
    <n v="0.39"/>
    <n v="5.2"/>
    <n v="170"/>
    <n v="884"/>
  </r>
  <r>
    <x v="75"/>
    <x v="0"/>
    <x v="1"/>
    <n v="0.42"/>
    <n v="3.8"/>
    <n v="130"/>
    <n v="494"/>
  </r>
  <r>
    <x v="76"/>
    <x v="1"/>
    <x v="0"/>
    <n v="0.34"/>
    <n v="5.6"/>
    <n v="120"/>
    <n v="672"/>
  </r>
  <r>
    <x v="77"/>
    <x v="2"/>
    <x v="1"/>
    <n v="0.31"/>
    <n v="4.2"/>
    <n v="140"/>
    <n v="588"/>
  </r>
  <r>
    <x v="78"/>
    <x v="3"/>
    <x v="0"/>
    <n v="0.37"/>
    <n v="4.3"/>
    <n v="180"/>
    <n v="774"/>
  </r>
  <r>
    <x v="79"/>
    <x v="4"/>
    <x v="1"/>
    <n v="0.4"/>
    <n v="5.5"/>
    <n v="210"/>
    <n v="1155"/>
  </r>
  <r>
    <x v="80"/>
    <x v="0"/>
    <x v="0"/>
    <n v="0.28000000000000003"/>
    <n v="4.9000000000000004"/>
    <n v="190"/>
    <n v="931.00000000000011"/>
  </r>
  <r>
    <x v="81"/>
    <x v="1"/>
    <x v="1"/>
    <n v="0.3"/>
    <n v="6.1"/>
    <n v="150"/>
    <n v="915"/>
  </r>
  <r>
    <x v="82"/>
    <x v="2"/>
    <x v="0"/>
    <n v="0.32"/>
    <n v="4"/>
    <n v="160"/>
    <n v="640"/>
  </r>
  <r>
    <x v="83"/>
    <x v="3"/>
    <x v="1"/>
    <n v="0.38"/>
    <n v="5.2"/>
    <n v="130"/>
    <n v="676"/>
  </r>
  <r>
    <x v="84"/>
    <x v="4"/>
    <x v="0"/>
    <n v="0.41"/>
    <n v="3.8"/>
    <n v="170"/>
    <n v="646"/>
  </r>
  <r>
    <x v="85"/>
    <x v="0"/>
    <x v="1"/>
    <n v="0.35"/>
    <n v="6.3"/>
    <n v="200"/>
    <n v="1260"/>
  </r>
  <r>
    <x v="86"/>
    <x v="1"/>
    <x v="0"/>
    <n v="0.28999999999999998"/>
    <n v="5.6"/>
    <n v="220"/>
    <n v="1232"/>
  </r>
  <r>
    <x v="87"/>
    <x v="2"/>
    <x v="1"/>
    <n v="0.33"/>
    <n v="4.5"/>
    <n v="210"/>
    <n v="945"/>
  </r>
  <r>
    <x v="88"/>
    <x v="3"/>
    <x v="0"/>
    <n v="0.36"/>
    <n v="5.0999999999999996"/>
    <n v="130"/>
    <n v="663"/>
  </r>
  <r>
    <x v="89"/>
    <x v="4"/>
    <x v="1"/>
    <n v="0.42"/>
    <n v="4.8"/>
    <n v="180"/>
    <n v="864"/>
  </r>
  <r>
    <x v="90"/>
    <x v="0"/>
    <x v="0"/>
    <n v="0.4"/>
    <n v="5.4"/>
    <n v="120"/>
    <n v="648"/>
  </r>
  <r>
    <x v="91"/>
    <x v="1"/>
    <x v="1"/>
    <n v="0.34"/>
    <n v="6.2"/>
    <n v="230"/>
    <n v="1426"/>
  </r>
  <r>
    <x v="92"/>
    <x v="2"/>
    <x v="0"/>
    <n v="0.33"/>
    <n v="4.7"/>
    <n v="170"/>
    <n v="799"/>
  </r>
  <r>
    <x v="93"/>
    <x v="3"/>
    <x v="1"/>
    <n v="0.3"/>
    <n v="3.9"/>
    <n v="140"/>
    <n v="546"/>
  </r>
  <r>
    <x v="94"/>
    <x v="4"/>
    <x v="0"/>
    <n v="0.28999999999999998"/>
    <n v="5.3"/>
    <n v="150"/>
    <n v="7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8BAD1-A5A6-49E4-A7CB-5879FB4D9BF8}" name="SalesVolumebyRegionBerrry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0">
    <pivotField numFmtId="14"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axis="axisRow" showAll="0">
      <items count="6">
        <item x="4"/>
        <item x="2"/>
        <item x="0"/>
        <item x="1"/>
        <item x="3"/>
        <item t="default"/>
      </items>
    </pivotField>
    <pivotField axis="axisCol" showAll="0">
      <items count="3">
        <item x="1"/>
        <item x="0"/>
        <item t="default"/>
      </items>
    </pivotField>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1"/>
  </rowFields>
  <rowItems count="6">
    <i>
      <x/>
    </i>
    <i>
      <x v="1"/>
    </i>
    <i>
      <x v="2"/>
    </i>
    <i>
      <x v="3"/>
    </i>
    <i>
      <x v="4"/>
    </i>
    <i t="grand">
      <x/>
    </i>
  </rowItems>
  <colFields count="1">
    <field x="2"/>
  </colFields>
  <colItems count="3">
    <i>
      <x/>
    </i>
    <i>
      <x v="1"/>
    </i>
    <i t="grand">
      <x/>
    </i>
  </colItems>
  <dataFields count="1">
    <dataField name="Sum of Sales_Volume_kg" fld="5" baseField="0" baseItem="0"/>
  </dataFields>
  <chartFormats count="2">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E5013-A9C0-4C46-B8AB-7410488CE9DE}" name="SalesVolumbyYear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15" firstHeaderRow="1" firstDataRow="2" firstDataCol="1"/>
  <pivotFields count="10">
    <pivotField numFmtId="14"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axis="axisCol" showAll="0">
      <items count="6">
        <item x="4"/>
        <item x="2"/>
        <item x="0"/>
        <item x="1"/>
        <item x="3"/>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2">
    <field x="9"/>
    <field x="8"/>
  </rowFields>
  <rowItems count="11">
    <i>
      <x v="1"/>
    </i>
    <i r="1">
      <x v="1"/>
    </i>
    <i r="1">
      <x v="2"/>
    </i>
    <i r="1">
      <x v="3"/>
    </i>
    <i r="1">
      <x v="4"/>
    </i>
    <i>
      <x v="2"/>
    </i>
    <i r="1">
      <x v="1"/>
    </i>
    <i r="1">
      <x v="2"/>
    </i>
    <i r="1">
      <x v="3"/>
    </i>
    <i r="1">
      <x v="4"/>
    </i>
    <i t="grand">
      <x/>
    </i>
  </rowItems>
  <colFields count="1">
    <field x="1"/>
  </colFields>
  <colItems count="6">
    <i>
      <x/>
    </i>
    <i>
      <x v="1"/>
    </i>
    <i>
      <x v="2"/>
    </i>
    <i>
      <x v="3"/>
    </i>
    <i>
      <x v="4"/>
    </i>
    <i t="grand">
      <x/>
    </i>
  </colItems>
  <dataFields count="1">
    <dataField name="Sum of Sales_Volume_kg" fld="5" baseField="0" baseItem="0"/>
  </dataFields>
  <chartFormats count="5">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2"/>
          </reference>
        </references>
      </pivotArea>
    </chartFormat>
    <chartFormat chart="5" format="23" series="1">
      <pivotArea type="data" outline="0" fieldPosition="0">
        <references count="2">
          <reference field="4294967294" count="1" selected="0">
            <x v="0"/>
          </reference>
          <reference field="1" count="1" selected="0">
            <x v="3"/>
          </reference>
        </references>
      </pivotArea>
    </chartFormat>
    <chartFormat chart="5" format="2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7E194-47B9-4E71-85BF-A13AD4D244BC}" name="SalesbyYearBerry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44" firstHeaderRow="1" firstDataRow="2" firstDataCol="1"/>
  <pivotFields count="10">
    <pivotField numFmtId="14" showAll="0">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showAll="0"/>
    <pivotField axis="axisCol" showAll="0">
      <items count="3">
        <item x="1"/>
        <item x="0"/>
        <item t="default"/>
      </items>
    </pivotField>
    <pivotField showAll="0"/>
    <pivotField showAll="0"/>
    <pivotField showAll="0"/>
    <pivotField dataField="1" showAll="0"/>
    <pivotField showAll="0" defaultSubtotal="0"/>
    <pivotField axis="axisRow" showAll="0" defaultSubtotal="0">
      <items count="6">
        <item x="0"/>
        <item x="1"/>
        <item x="2"/>
        <item x="3"/>
        <item x="4"/>
        <item x="5"/>
      </items>
    </pivotField>
    <pivotField axis="axisRow" showAll="0" defaultSubtotal="0">
      <items count="4">
        <item x="0"/>
        <item x="1"/>
        <item x="2"/>
        <item x="3"/>
      </items>
    </pivotField>
  </pivotFields>
  <rowFields count="2">
    <field x="9"/>
    <field x="8"/>
  </rowFields>
  <rowItems count="11">
    <i>
      <x v="1"/>
    </i>
    <i r="1">
      <x v="1"/>
    </i>
    <i r="1">
      <x v="2"/>
    </i>
    <i r="1">
      <x v="3"/>
    </i>
    <i r="1">
      <x v="4"/>
    </i>
    <i>
      <x v="2"/>
    </i>
    <i r="1">
      <x v="1"/>
    </i>
    <i r="1">
      <x v="2"/>
    </i>
    <i r="1">
      <x v="3"/>
    </i>
    <i r="1">
      <x v="4"/>
    </i>
    <i t="grand">
      <x/>
    </i>
  </rowItems>
  <colFields count="1">
    <field x="2"/>
  </colFields>
  <colItems count="3">
    <i>
      <x/>
    </i>
    <i>
      <x v="1"/>
    </i>
    <i t="grand">
      <x/>
    </i>
  </colItems>
  <dataFields count="1">
    <dataField name="Sum of Sales" fld="6"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8FEAC3-A956-49B7-9607-E54F995AE4EA}" autoFormatId="16" applyNumberFormats="0" applyBorderFormats="0" applyFontFormats="0" applyPatternFormats="0" applyAlignmentFormats="0" applyWidthHeightFormats="0">
  <queryTableRefresh nextId="8" unboundColumnsRight="1">
    <queryTableFields count="7">
      <queryTableField id="1" name="Date" tableColumnId="1"/>
      <queryTableField id="2" name="Region" tableColumnId="2"/>
      <queryTableField id="3" name="Berry_Type" tableColumnId="3"/>
      <queryTableField id="4" name="Average_Weight_kg" tableColumnId="4"/>
      <queryTableField id="5" name="Price_per_kg" tableColumnId="5"/>
      <queryTableField id="6" name="Sales_Volume_kg"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595760-2251-4DA3-A43A-3B7B0528248A}" sourceName="Region">
  <pivotTables>
    <pivotTable tabId="1" name="SalesVolumbyYearRegion"/>
  </pivotTables>
  <data>
    <tabular pivotCacheId="235975522">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81AAD6-2E44-4A71-8465-DC9694CAD7AA}" cache="Slicer_Region" caption="Regi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DE492-50B8-4FF7-BF1B-037288E84316}" name="practice_dataset_excel_practical_task" displayName="practice_dataset_excel_practical_task" ref="A1:G96" tableType="queryTable" totalsRowShown="0">
  <autoFilter ref="A1:G96" xr:uid="{018DE492-50B8-4FF7-BF1B-037288E84316}"/>
  <tableColumns count="7">
    <tableColumn id="1" xr3:uid="{9DF75C32-635F-4A65-AF9B-ECF476938FB5}" uniqueName="1" name="Date" queryTableFieldId="1" dataDxfId="3"/>
    <tableColumn id="2" xr3:uid="{C69B9C61-286A-42B2-B65D-02EBCFF950E3}" uniqueName="2" name="Region" queryTableFieldId="2" dataDxfId="2"/>
    <tableColumn id="3" xr3:uid="{8FB2ADC9-7FC7-4F32-BB2B-98F0382DE5ED}" uniqueName="3" name="Berry_Type" queryTableFieldId="3" dataDxfId="1"/>
    <tableColumn id="4" xr3:uid="{51DC1195-959D-4C6A-AFE8-112C45897D25}" uniqueName="4" name="Average_Weight_kg" queryTableFieldId="4"/>
    <tableColumn id="5" xr3:uid="{6ED9C207-4016-498E-B40C-ADD1DBD7FFDF}" uniqueName="5" name="Price_per_kg" queryTableFieldId="5"/>
    <tableColumn id="6" xr3:uid="{845466D6-4B81-4A2E-9F69-C42C91E926E2}" uniqueName="6" name="Sales_Volume_kg" queryTableFieldId="6"/>
    <tableColumn id="7" xr3:uid="{D5028106-C7AA-4BD1-A8D0-EAAD34E64D0A}" uniqueName="7" name="Sales" queryTableFieldId="7" dataDxfId="0">
      <calculatedColumnFormula>practice_dataset_excel_practical_task[[#This Row],[Price_per_kg]]*practice_dataset_excel_practical_task[[#This Row],[Sales_Volume_kg]]</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9113-8539-47A2-B57E-187FA0FE4380}">
  <dimension ref="A1:G96"/>
  <sheetViews>
    <sheetView topLeftCell="A2" workbookViewId="0">
      <selection activeCell="C9" sqref="C9"/>
    </sheetView>
  </sheetViews>
  <sheetFormatPr defaultRowHeight="14.5" x14ac:dyDescent="0.35"/>
  <cols>
    <col min="1" max="1" width="10.36328125" bestFit="1" customWidth="1"/>
    <col min="2" max="2" width="8.6328125" bestFit="1" customWidth="1"/>
    <col min="3" max="3" width="11.90625" bestFit="1" customWidth="1"/>
    <col min="4" max="4" width="18.6328125" bestFit="1" customWidth="1"/>
    <col min="5" max="5" width="13.453125" bestFit="1" customWidth="1"/>
    <col min="6" max="6" width="17.08984375" bestFit="1" customWidth="1"/>
  </cols>
  <sheetData>
    <row r="1" spans="1:7" x14ac:dyDescent="0.35">
      <c r="A1" t="s">
        <v>0</v>
      </c>
      <c r="B1" t="s">
        <v>1</v>
      </c>
      <c r="C1" t="s">
        <v>2</v>
      </c>
      <c r="D1" t="s">
        <v>3</v>
      </c>
      <c r="E1" t="s">
        <v>4</v>
      </c>
      <c r="F1" t="s">
        <v>5</v>
      </c>
      <c r="G1" t="s">
        <v>23</v>
      </c>
    </row>
    <row r="2" spans="1:7" x14ac:dyDescent="0.35">
      <c r="A2" s="1">
        <v>44927</v>
      </c>
      <c r="B2" t="s">
        <v>6</v>
      </c>
      <c r="C2" t="s">
        <v>7</v>
      </c>
      <c r="D2">
        <v>0.33</v>
      </c>
      <c r="E2">
        <v>4.2</v>
      </c>
      <c r="F2">
        <v>150</v>
      </c>
      <c r="G2">
        <f>practice_dataset_excel_practical_task[[#This Row],[Price_per_kg]]*practice_dataset_excel_practical_task[[#This Row],[Sales_Volume_kg]]</f>
        <v>630</v>
      </c>
    </row>
    <row r="3" spans="1:7" x14ac:dyDescent="0.35">
      <c r="A3" s="1">
        <v>44934</v>
      </c>
      <c r="B3" t="s">
        <v>8</v>
      </c>
      <c r="C3" t="s">
        <v>9</v>
      </c>
      <c r="D3">
        <v>0.45</v>
      </c>
      <c r="E3">
        <v>6.5</v>
      </c>
      <c r="F3">
        <v>200</v>
      </c>
      <c r="G3">
        <f>practice_dataset_excel_practical_task[[#This Row],[Price_per_kg]]*practice_dataset_excel_practical_task[[#This Row],[Sales_Volume_kg]]</f>
        <v>1300</v>
      </c>
    </row>
    <row r="4" spans="1:7" x14ac:dyDescent="0.35">
      <c r="A4" s="1">
        <v>44941</v>
      </c>
      <c r="B4" t="s">
        <v>10</v>
      </c>
      <c r="C4" t="s">
        <v>7</v>
      </c>
      <c r="D4">
        <v>0.39</v>
      </c>
      <c r="E4">
        <v>3.75</v>
      </c>
      <c r="F4">
        <v>120</v>
      </c>
      <c r="G4">
        <f>practice_dataset_excel_practical_task[[#This Row],[Price_per_kg]]*practice_dataset_excel_practical_task[[#This Row],[Sales_Volume_kg]]</f>
        <v>450</v>
      </c>
    </row>
    <row r="5" spans="1:7" x14ac:dyDescent="0.35">
      <c r="A5" s="1">
        <v>44948</v>
      </c>
      <c r="B5" t="s">
        <v>11</v>
      </c>
      <c r="C5" t="s">
        <v>9</v>
      </c>
      <c r="D5">
        <v>0.42</v>
      </c>
      <c r="E5">
        <v>5.0999999999999996</v>
      </c>
      <c r="F5">
        <v>180</v>
      </c>
      <c r="G5">
        <f>practice_dataset_excel_practical_task[[#This Row],[Price_per_kg]]*practice_dataset_excel_practical_task[[#This Row],[Sales_Volume_kg]]</f>
        <v>917.99999999999989</v>
      </c>
    </row>
    <row r="6" spans="1:7" x14ac:dyDescent="0.35">
      <c r="A6" s="1">
        <v>44955</v>
      </c>
      <c r="B6" t="s">
        <v>12</v>
      </c>
      <c r="C6" t="s">
        <v>7</v>
      </c>
      <c r="D6">
        <v>0.36</v>
      </c>
      <c r="E6">
        <v>4.8</v>
      </c>
      <c r="F6">
        <v>160</v>
      </c>
      <c r="G6">
        <f>practice_dataset_excel_practical_task[[#This Row],[Price_per_kg]]*practice_dataset_excel_practical_task[[#This Row],[Sales_Volume_kg]]</f>
        <v>768</v>
      </c>
    </row>
    <row r="7" spans="1:7" x14ac:dyDescent="0.35">
      <c r="A7" s="1">
        <v>44962</v>
      </c>
      <c r="B7" t="s">
        <v>6</v>
      </c>
      <c r="C7" t="s">
        <v>9</v>
      </c>
      <c r="D7">
        <v>0.44</v>
      </c>
      <c r="E7">
        <v>6.3</v>
      </c>
      <c r="F7">
        <v>220</v>
      </c>
      <c r="G7">
        <f>practice_dataset_excel_practical_task[[#This Row],[Price_per_kg]]*practice_dataset_excel_practical_task[[#This Row],[Sales_Volume_kg]]</f>
        <v>1386</v>
      </c>
    </row>
    <row r="8" spans="1:7" x14ac:dyDescent="0.35">
      <c r="A8" s="1">
        <v>44969</v>
      </c>
      <c r="B8" t="s">
        <v>8</v>
      </c>
      <c r="C8" t="s">
        <v>7</v>
      </c>
      <c r="D8">
        <v>0.28000000000000003</v>
      </c>
      <c r="E8">
        <v>3.9</v>
      </c>
      <c r="F8">
        <v>190</v>
      </c>
      <c r="G8">
        <f>practice_dataset_excel_practical_task[[#This Row],[Price_per_kg]]*practice_dataset_excel_practical_task[[#This Row],[Sales_Volume_kg]]</f>
        <v>741</v>
      </c>
    </row>
    <row r="9" spans="1:7" x14ac:dyDescent="0.35">
      <c r="A9" s="1">
        <v>44976</v>
      </c>
      <c r="B9" t="s">
        <v>10</v>
      </c>
      <c r="C9" t="s">
        <v>9</v>
      </c>
      <c r="D9">
        <v>0.35</v>
      </c>
      <c r="E9">
        <v>4</v>
      </c>
      <c r="F9">
        <v>140</v>
      </c>
      <c r="G9">
        <f>practice_dataset_excel_practical_task[[#This Row],[Price_per_kg]]*practice_dataset_excel_practical_task[[#This Row],[Sales_Volume_kg]]</f>
        <v>560</v>
      </c>
    </row>
    <row r="10" spans="1:7" x14ac:dyDescent="0.35">
      <c r="A10" s="1">
        <v>44983</v>
      </c>
      <c r="B10" t="s">
        <v>11</v>
      </c>
      <c r="C10" t="s">
        <v>7</v>
      </c>
      <c r="D10">
        <v>0.37</v>
      </c>
      <c r="E10">
        <v>5.5</v>
      </c>
      <c r="F10">
        <v>170</v>
      </c>
      <c r="G10">
        <f>practice_dataset_excel_practical_task[[#This Row],[Price_per_kg]]*practice_dataset_excel_practical_task[[#This Row],[Sales_Volume_kg]]</f>
        <v>935</v>
      </c>
    </row>
    <row r="11" spans="1:7" x14ac:dyDescent="0.35">
      <c r="A11" s="1">
        <v>44990</v>
      </c>
      <c r="B11" t="s">
        <v>12</v>
      </c>
      <c r="C11" t="s">
        <v>9</v>
      </c>
      <c r="D11">
        <v>0.41</v>
      </c>
      <c r="E11">
        <v>3.6</v>
      </c>
      <c r="F11">
        <v>230</v>
      </c>
      <c r="G11">
        <f>practice_dataset_excel_practical_task[[#This Row],[Price_per_kg]]*practice_dataset_excel_practical_task[[#This Row],[Sales_Volume_kg]]</f>
        <v>828</v>
      </c>
    </row>
    <row r="12" spans="1:7" x14ac:dyDescent="0.35">
      <c r="A12" s="1">
        <v>44997</v>
      </c>
      <c r="B12" t="s">
        <v>6</v>
      </c>
      <c r="C12" t="s">
        <v>7</v>
      </c>
      <c r="D12">
        <v>0.28999999999999998</v>
      </c>
      <c r="E12">
        <v>4.7</v>
      </c>
      <c r="F12">
        <v>110</v>
      </c>
      <c r="G12">
        <f>practice_dataset_excel_practical_task[[#This Row],[Price_per_kg]]*practice_dataset_excel_practical_task[[#This Row],[Sales_Volume_kg]]</f>
        <v>517</v>
      </c>
    </row>
    <row r="13" spans="1:7" x14ac:dyDescent="0.35">
      <c r="A13" s="1">
        <v>45004</v>
      </c>
      <c r="B13" t="s">
        <v>8</v>
      </c>
      <c r="C13" t="s">
        <v>9</v>
      </c>
      <c r="D13">
        <v>0.43</v>
      </c>
      <c r="E13">
        <v>6</v>
      </c>
      <c r="F13">
        <v>210</v>
      </c>
      <c r="G13">
        <f>practice_dataset_excel_practical_task[[#This Row],[Price_per_kg]]*practice_dataset_excel_practical_task[[#This Row],[Sales_Volume_kg]]</f>
        <v>1260</v>
      </c>
    </row>
    <row r="14" spans="1:7" x14ac:dyDescent="0.35">
      <c r="A14" s="1">
        <v>45011</v>
      </c>
      <c r="B14" t="s">
        <v>10</v>
      </c>
      <c r="C14" t="s">
        <v>7</v>
      </c>
      <c r="D14">
        <v>0.31</v>
      </c>
      <c r="E14">
        <v>3.85</v>
      </c>
      <c r="F14">
        <v>130</v>
      </c>
      <c r="G14">
        <f>practice_dataset_excel_practical_task[[#This Row],[Price_per_kg]]*practice_dataset_excel_practical_task[[#This Row],[Sales_Volume_kg]]</f>
        <v>500.5</v>
      </c>
    </row>
    <row r="15" spans="1:7" x14ac:dyDescent="0.35">
      <c r="A15" s="1">
        <v>45018</v>
      </c>
      <c r="B15" t="s">
        <v>11</v>
      </c>
      <c r="C15" t="s">
        <v>9</v>
      </c>
      <c r="D15">
        <v>0.32</v>
      </c>
      <c r="E15">
        <v>5.2</v>
      </c>
      <c r="F15">
        <v>150</v>
      </c>
      <c r="G15">
        <f>practice_dataset_excel_practical_task[[#This Row],[Price_per_kg]]*practice_dataset_excel_practical_task[[#This Row],[Sales_Volume_kg]]</f>
        <v>780</v>
      </c>
    </row>
    <row r="16" spans="1:7" x14ac:dyDescent="0.35">
      <c r="A16" s="1">
        <v>45025</v>
      </c>
      <c r="B16" t="s">
        <v>12</v>
      </c>
      <c r="C16" t="s">
        <v>7</v>
      </c>
      <c r="D16">
        <v>0.38</v>
      </c>
      <c r="E16">
        <v>4.5999999999999996</v>
      </c>
      <c r="F16">
        <v>180</v>
      </c>
      <c r="G16">
        <f>practice_dataset_excel_practical_task[[#This Row],[Price_per_kg]]*practice_dataset_excel_practical_task[[#This Row],[Sales_Volume_kg]]</f>
        <v>827.99999999999989</v>
      </c>
    </row>
    <row r="17" spans="1:7" x14ac:dyDescent="0.35">
      <c r="A17" s="1">
        <v>45032</v>
      </c>
      <c r="B17" t="s">
        <v>6</v>
      </c>
      <c r="C17" t="s">
        <v>9</v>
      </c>
      <c r="D17">
        <v>0.36</v>
      </c>
      <c r="E17">
        <v>4.9000000000000004</v>
      </c>
      <c r="F17">
        <v>160</v>
      </c>
      <c r="G17">
        <f>practice_dataset_excel_practical_task[[#This Row],[Price_per_kg]]*practice_dataset_excel_practical_task[[#This Row],[Sales_Volume_kg]]</f>
        <v>784</v>
      </c>
    </row>
    <row r="18" spans="1:7" x14ac:dyDescent="0.35">
      <c r="A18" s="1">
        <v>45039</v>
      </c>
      <c r="B18" t="s">
        <v>8</v>
      </c>
      <c r="C18" t="s">
        <v>7</v>
      </c>
      <c r="D18">
        <v>0.27</v>
      </c>
      <c r="E18">
        <v>3.95</v>
      </c>
      <c r="F18">
        <v>170</v>
      </c>
      <c r="G18">
        <f>practice_dataset_excel_practical_task[[#This Row],[Price_per_kg]]*practice_dataset_excel_practical_task[[#This Row],[Sales_Volume_kg]]</f>
        <v>671.5</v>
      </c>
    </row>
    <row r="19" spans="1:7" x14ac:dyDescent="0.35">
      <c r="A19" s="1">
        <v>45046</v>
      </c>
      <c r="B19" t="s">
        <v>10</v>
      </c>
      <c r="C19" t="s">
        <v>9</v>
      </c>
      <c r="D19">
        <v>0.34</v>
      </c>
      <c r="E19">
        <v>5</v>
      </c>
      <c r="F19">
        <v>145</v>
      </c>
      <c r="G19">
        <f>practice_dataset_excel_practical_task[[#This Row],[Price_per_kg]]*practice_dataset_excel_practical_task[[#This Row],[Sales_Volume_kg]]</f>
        <v>725</v>
      </c>
    </row>
    <row r="20" spans="1:7" x14ac:dyDescent="0.35">
      <c r="A20" s="1">
        <v>45053</v>
      </c>
      <c r="B20" t="s">
        <v>11</v>
      </c>
      <c r="C20" t="s">
        <v>7</v>
      </c>
      <c r="D20">
        <v>0.4</v>
      </c>
      <c r="E20">
        <v>4.3</v>
      </c>
      <c r="F20">
        <v>190</v>
      </c>
      <c r="G20">
        <f>practice_dataset_excel_practical_task[[#This Row],[Price_per_kg]]*practice_dataset_excel_practical_task[[#This Row],[Sales_Volume_kg]]</f>
        <v>817</v>
      </c>
    </row>
    <row r="21" spans="1:7" x14ac:dyDescent="0.35">
      <c r="A21" s="1">
        <v>45060</v>
      </c>
      <c r="B21" t="s">
        <v>12</v>
      </c>
      <c r="C21" t="s">
        <v>9</v>
      </c>
      <c r="D21">
        <v>0.41</v>
      </c>
      <c r="E21">
        <v>4.75</v>
      </c>
      <c r="F21">
        <v>220</v>
      </c>
      <c r="G21">
        <f>practice_dataset_excel_practical_task[[#This Row],[Price_per_kg]]*practice_dataset_excel_practical_task[[#This Row],[Sales_Volume_kg]]</f>
        <v>1045</v>
      </c>
    </row>
    <row r="22" spans="1:7" x14ac:dyDescent="0.35">
      <c r="A22" s="1">
        <v>45067</v>
      </c>
      <c r="B22" t="s">
        <v>6</v>
      </c>
      <c r="C22" t="s">
        <v>7</v>
      </c>
      <c r="D22">
        <v>0.3</v>
      </c>
      <c r="E22">
        <v>5.3</v>
      </c>
      <c r="F22">
        <v>135</v>
      </c>
      <c r="G22">
        <f>practice_dataset_excel_practical_task[[#This Row],[Price_per_kg]]*practice_dataset_excel_practical_task[[#This Row],[Sales_Volume_kg]]</f>
        <v>715.5</v>
      </c>
    </row>
    <row r="23" spans="1:7" x14ac:dyDescent="0.35">
      <c r="A23" s="1">
        <v>45074</v>
      </c>
      <c r="B23" t="s">
        <v>8</v>
      </c>
      <c r="C23" t="s">
        <v>9</v>
      </c>
      <c r="D23">
        <v>0.39</v>
      </c>
      <c r="E23">
        <v>4.0999999999999996</v>
      </c>
      <c r="F23">
        <v>160</v>
      </c>
      <c r="G23">
        <f>practice_dataset_excel_practical_task[[#This Row],[Price_per_kg]]*practice_dataset_excel_practical_task[[#This Row],[Sales_Volume_kg]]</f>
        <v>656</v>
      </c>
    </row>
    <row r="24" spans="1:7" x14ac:dyDescent="0.35">
      <c r="A24" s="1">
        <v>45081</v>
      </c>
      <c r="B24" t="s">
        <v>10</v>
      </c>
      <c r="C24" t="s">
        <v>7</v>
      </c>
      <c r="D24">
        <v>0.32</v>
      </c>
      <c r="E24">
        <v>5.4</v>
      </c>
      <c r="F24">
        <v>170</v>
      </c>
      <c r="G24">
        <f>practice_dataset_excel_practical_task[[#This Row],[Price_per_kg]]*practice_dataset_excel_practical_task[[#This Row],[Sales_Volume_kg]]</f>
        <v>918.00000000000011</v>
      </c>
    </row>
    <row r="25" spans="1:7" x14ac:dyDescent="0.35">
      <c r="A25" s="1">
        <v>45088</v>
      </c>
      <c r="B25" t="s">
        <v>11</v>
      </c>
      <c r="C25" t="s">
        <v>9</v>
      </c>
      <c r="D25">
        <v>0.37</v>
      </c>
      <c r="E25">
        <v>3.7</v>
      </c>
      <c r="F25">
        <v>210</v>
      </c>
      <c r="G25">
        <f>practice_dataset_excel_practical_task[[#This Row],[Price_per_kg]]*practice_dataset_excel_practical_task[[#This Row],[Sales_Volume_kg]]</f>
        <v>777</v>
      </c>
    </row>
    <row r="26" spans="1:7" x14ac:dyDescent="0.35">
      <c r="A26" s="1">
        <v>45095</v>
      </c>
      <c r="B26" t="s">
        <v>12</v>
      </c>
      <c r="C26" t="s">
        <v>7</v>
      </c>
      <c r="D26">
        <v>0.35</v>
      </c>
      <c r="E26">
        <v>4.5999999999999996</v>
      </c>
      <c r="F26">
        <v>180</v>
      </c>
      <c r="G26">
        <f>practice_dataset_excel_practical_task[[#This Row],[Price_per_kg]]*practice_dataset_excel_practical_task[[#This Row],[Sales_Volume_kg]]</f>
        <v>827.99999999999989</v>
      </c>
    </row>
    <row r="27" spans="1:7" x14ac:dyDescent="0.35">
      <c r="A27" s="1">
        <v>45102</v>
      </c>
      <c r="B27" t="s">
        <v>6</v>
      </c>
      <c r="C27" t="s">
        <v>9</v>
      </c>
      <c r="D27">
        <v>0.3</v>
      </c>
      <c r="E27">
        <v>5.0999999999999996</v>
      </c>
      <c r="F27">
        <v>190</v>
      </c>
      <c r="G27">
        <f>practice_dataset_excel_practical_task[[#This Row],[Price_per_kg]]*practice_dataset_excel_practical_task[[#This Row],[Sales_Volume_kg]]</f>
        <v>968.99999999999989</v>
      </c>
    </row>
    <row r="28" spans="1:7" x14ac:dyDescent="0.35">
      <c r="A28" s="1">
        <v>45109</v>
      </c>
      <c r="B28" t="s">
        <v>8</v>
      </c>
      <c r="C28" t="s">
        <v>7</v>
      </c>
      <c r="D28">
        <v>0.34</v>
      </c>
      <c r="E28">
        <v>6</v>
      </c>
      <c r="F28">
        <v>200</v>
      </c>
      <c r="G28">
        <f>practice_dataset_excel_practical_task[[#This Row],[Price_per_kg]]*practice_dataset_excel_practical_task[[#This Row],[Sales_Volume_kg]]</f>
        <v>1200</v>
      </c>
    </row>
    <row r="29" spans="1:7" x14ac:dyDescent="0.35">
      <c r="A29" s="1">
        <v>45116</v>
      </c>
      <c r="B29" t="s">
        <v>10</v>
      </c>
      <c r="C29" t="s">
        <v>9</v>
      </c>
      <c r="D29">
        <v>0.39</v>
      </c>
      <c r="E29">
        <v>4.8</v>
      </c>
      <c r="F29">
        <v>120</v>
      </c>
      <c r="G29">
        <f>practice_dataset_excel_practical_task[[#This Row],[Price_per_kg]]*practice_dataset_excel_practical_task[[#This Row],[Sales_Volume_kg]]</f>
        <v>576</v>
      </c>
    </row>
    <row r="30" spans="1:7" x14ac:dyDescent="0.35">
      <c r="A30" s="1">
        <v>45123</v>
      </c>
      <c r="B30" t="s">
        <v>11</v>
      </c>
      <c r="C30" t="s">
        <v>7</v>
      </c>
      <c r="D30">
        <v>0.33</v>
      </c>
      <c r="E30">
        <v>4.95</v>
      </c>
      <c r="F30">
        <v>150</v>
      </c>
      <c r="G30">
        <f>practice_dataset_excel_practical_task[[#This Row],[Price_per_kg]]*practice_dataset_excel_practical_task[[#This Row],[Sales_Volume_kg]]</f>
        <v>742.5</v>
      </c>
    </row>
    <row r="31" spans="1:7" x14ac:dyDescent="0.35">
      <c r="A31" s="1">
        <v>45130</v>
      </c>
      <c r="B31" t="s">
        <v>12</v>
      </c>
      <c r="C31" t="s">
        <v>9</v>
      </c>
      <c r="D31">
        <v>0.36</v>
      </c>
      <c r="E31">
        <v>4.2</v>
      </c>
      <c r="F31">
        <v>230</v>
      </c>
      <c r="G31">
        <f>practice_dataset_excel_practical_task[[#This Row],[Price_per_kg]]*practice_dataset_excel_practical_task[[#This Row],[Sales_Volume_kg]]</f>
        <v>966</v>
      </c>
    </row>
    <row r="32" spans="1:7" x14ac:dyDescent="0.35">
      <c r="A32" s="1">
        <v>45137</v>
      </c>
      <c r="B32" t="s">
        <v>6</v>
      </c>
      <c r="C32" t="s">
        <v>7</v>
      </c>
      <c r="D32">
        <v>0.37</v>
      </c>
      <c r="E32">
        <v>5.8</v>
      </c>
      <c r="F32">
        <v>140</v>
      </c>
      <c r="G32">
        <f>practice_dataset_excel_practical_task[[#This Row],[Price_per_kg]]*practice_dataset_excel_practical_task[[#This Row],[Sales_Volume_kg]]</f>
        <v>812</v>
      </c>
    </row>
    <row r="33" spans="1:7" x14ac:dyDescent="0.35">
      <c r="A33" s="1">
        <v>45144</v>
      </c>
      <c r="B33" t="s">
        <v>8</v>
      </c>
      <c r="C33" t="s">
        <v>9</v>
      </c>
      <c r="D33">
        <v>0.44</v>
      </c>
      <c r="E33">
        <v>3.9</v>
      </c>
      <c r="F33">
        <v>210</v>
      </c>
      <c r="G33">
        <f>practice_dataset_excel_practical_task[[#This Row],[Price_per_kg]]*practice_dataset_excel_practical_task[[#This Row],[Sales_Volume_kg]]</f>
        <v>819</v>
      </c>
    </row>
    <row r="34" spans="1:7" x14ac:dyDescent="0.35">
      <c r="A34" s="1">
        <v>45151</v>
      </c>
      <c r="B34" t="s">
        <v>10</v>
      </c>
      <c r="C34" t="s">
        <v>7</v>
      </c>
      <c r="D34">
        <v>0.4</v>
      </c>
      <c r="E34">
        <v>4.5</v>
      </c>
      <c r="F34">
        <v>150</v>
      </c>
      <c r="G34">
        <f>practice_dataset_excel_practical_task[[#This Row],[Price_per_kg]]*practice_dataset_excel_practical_task[[#This Row],[Sales_Volume_kg]]</f>
        <v>675</v>
      </c>
    </row>
    <row r="35" spans="1:7" x14ac:dyDescent="0.35">
      <c r="A35" s="1">
        <v>45158</v>
      </c>
      <c r="B35" t="s">
        <v>11</v>
      </c>
      <c r="C35" t="s">
        <v>9</v>
      </c>
      <c r="D35">
        <v>0.31</v>
      </c>
      <c r="E35">
        <v>5.2</v>
      </c>
      <c r="F35">
        <v>190</v>
      </c>
      <c r="G35">
        <f>practice_dataset_excel_practical_task[[#This Row],[Price_per_kg]]*practice_dataset_excel_practical_task[[#This Row],[Sales_Volume_kg]]</f>
        <v>988</v>
      </c>
    </row>
    <row r="36" spans="1:7" x14ac:dyDescent="0.35">
      <c r="A36" s="1">
        <v>45165</v>
      </c>
      <c r="B36" t="s">
        <v>12</v>
      </c>
      <c r="C36" t="s">
        <v>7</v>
      </c>
      <c r="D36">
        <v>0.28999999999999998</v>
      </c>
      <c r="E36">
        <v>6.1</v>
      </c>
      <c r="F36">
        <v>175</v>
      </c>
      <c r="G36">
        <f>practice_dataset_excel_practical_task[[#This Row],[Price_per_kg]]*practice_dataset_excel_practical_task[[#This Row],[Sales_Volume_kg]]</f>
        <v>1067.5</v>
      </c>
    </row>
    <row r="37" spans="1:7" x14ac:dyDescent="0.35">
      <c r="A37" s="1">
        <v>45172</v>
      </c>
      <c r="B37" t="s">
        <v>6</v>
      </c>
      <c r="C37" t="s">
        <v>9</v>
      </c>
      <c r="D37">
        <v>0.42</v>
      </c>
      <c r="E37">
        <v>3.8</v>
      </c>
      <c r="F37">
        <v>160</v>
      </c>
      <c r="G37">
        <f>practice_dataset_excel_practical_task[[#This Row],[Price_per_kg]]*practice_dataset_excel_practical_task[[#This Row],[Sales_Volume_kg]]</f>
        <v>608</v>
      </c>
    </row>
    <row r="38" spans="1:7" x14ac:dyDescent="0.35">
      <c r="A38" s="1">
        <v>45179</v>
      </c>
      <c r="B38" t="s">
        <v>8</v>
      </c>
      <c r="C38" t="s">
        <v>7</v>
      </c>
      <c r="D38">
        <v>0.35</v>
      </c>
      <c r="E38">
        <v>5.6</v>
      </c>
      <c r="F38">
        <v>220</v>
      </c>
      <c r="G38">
        <f>practice_dataset_excel_practical_task[[#This Row],[Price_per_kg]]*practice_dataset_excel_practical_task[[#This Row],[Sales_Volume_kg]]</f>
        <v>1232</v>
      </c>
    </row>
    <row r="39" spans="1:7" x14ac:dyDescent="0.35">
      <c r="A39" s="1">
        <v>45186</v>
      </c>
      <c r="B39" t="s">
        <v>10</v>
      </c>
      <c r="C39" t="s">
        <v>9</v>
      </c>
      <c r="D39">
        <v>0.28000000000000003</v>
      </c>
      <c r="E39">
        <v>5</v>
      </c>
      <c r="F39">
        <v>110</v>
      </c>
      <c r="G39">
        <f>practice_dataset_excel_practical_task[[#This Row],[Price_per_kg]]*practice_dataset_excel_practical_task[[#This Row],[Sales_Volume_kg]]</f>
        <v>550</v>
      </c>
    </row>
    <row r="40" spans="1:7" x14ac:dyDescent="0.35">
      <c r="A40" s="1">
        <v>45193</v>
      </c>
      <c r="B40" t="s">
        <v>11</v>
      </c>
      <c r="C40" t="s">
        <v>7</v>
      </c>
      <c r="D40">
        <v>0.34</v>
      </c>
      <c r="E40">
        <v>4.0999999999999996</v>
      </c>
      <c r="F40">
        <v>185</v>
      </c>
      <c r="G40">
        <f>practice_dataset_excel_practical_task[[#This Row],[Price_per_kg]]*practice_dataset_excel_practical_task[[#This Row],[Sales_Volume_kg]]</f>
        <v>758.49999999999989</v>
      </c>
    </row>
    <row r="41" spans="1:7" x14ac:dyDescent="0.35">
      <c r="A41" s="1">
        <v>45200</v>
      </c>
      <c r="B41" t="s">
        <v>12</v>
      </c>
      <c r="C41" t="s">
        <v>9</v>
      </c>
      <c r="D41">
        <v>0.38</v>
      </c>
      <c r="E41">
        <v>4.7</v>
      </c>
      <c r="F41">
        <v>130</v>
      </c>
      <c r="G41">
        <f>practice_dataset_excel_practical_task[[#This Row],[Price_per_kg]]*practice_dataset_excel_practical_task[[#This Row],[Sales_Volume_kg]]</f>
        <v>611</v>
      </c>
    </row>
    <row r="42" spans="1:7" x14ac:dyDescent="0.35">
      <c r="A42" s="1">
        <v>45207</v>
      </c>
      <c r="B42" t="s">
        <v>6</v>
      </c>
      <c r="C42" t="s">
        <v>7</v>
      </c>
      <c r="D42">
        <v>0.4</v>
      </c>
      <c r="E42">
        <v>6.2</v>
      </c>
      <c r="F42">
        <v>115</v>
      </c>
      <c r="G42">
        <f>practice_dataset_excel_practical_task[[#This Row],[Price_per_kg]]*practice_dataset_excel_practical_task[[#This Row],[Sales_Volume_kg]]</f>
        <v>713</v>
      </c>
    </row>
    <row r="43" spans="1:7" x14ac:dyDescent="0.35">
      <c r="A43" s="1">
        <v>45214</v>
      </c>
      <c r="B43" t="s">
        <v>8</v>
      </c>
      <c r="C43" t="s">
        <v>9</v>
      </c>
      <c r="D43">
        <v>0.28999999999999998</v>
      </c>
      <c r="E43">
        <v>5.4</v>
      </c>
      <c r="F43">
        <v>240</v>
      </c>
      <c r="G43">
        <f>practice_dataset_excel_practical_task[[#This Row],[Price_per_kg]]*practice_dataset_excel_practical_task[[#This Row],[Sales_Volume_kg]]</f>
        <v>1296</v>
      </c>
    </row>
    <row r="44" spans="1:7" x14ac:dyDescent="0.35">
      <c r="A44" s="1">
        <v>45221</v>
      </c>
      <c r="B44" t="s">
        <v>10</v>
      </c>
      <c r="C44" t="s">
        <v>7</v>
      </c>
      <c r="D44">
        <v>0.36</v>
      </c>
      <c r="E44">
        <v>4.3</v>
      </c>
      <c r="F44">
        <v>170</v>
      </c>
      <c r="G44">
        <f>practice_dataset_excel_practical_task[[#This Row],[Price_per_kg]]*practice_dataset_excel_practical_task[[#This Row],[Sales_Volume_kg]]</f>
        <v>731</v>
      </c>
    </row>
    <row r="45" spans="1:7" x14ac:dyDescent="0.35">
      <c r="A45" s="1">
        <v>45228</v>
      </c>
      <c r="B45" t="s">
        <v>11</v>
      </c>
      <c r="C45" t="s">
        <v>9</v>
      </c>
      <c r="D45">
        <v>0.37</v>
      </c>
      <c r="E45">
        <v>3.75</v>
      </c>
      <c r="F45">
        <v>180</v>
      </c>
      <c r="G45">
        <f>practice_dataset_excel_practical_task[[#This Row],[Price_per_kg]]*practice_dataset_excel_practical_task[[#This Row],[Sales_Volume_kg]]</f>
        <v>675</v>
      </c>
    </row>
    <row r="46" spans="1:7" x14ac:dyDescent="0.35">
      <c r="A46" s="1">
        <v>45235</v>
      </c>
      <c r="B46" t="s">
        <v>12</v>
      </c>
      <c r="C46" t="s">
        <v>7</v>
      </c>
      <c r="D46">
        <v>0.32</v>
      </c>
      <c r="E46">
        <v>4.8</v>
      </c>
      <c r="F46">
        <v>160</v>
      </c>
      <c r="G46">
        <f>practice_dataset_excel_practical_task[[#This Row],[Price_per_kg]]*practice_dataset_excel_practical_task[[#This Row],[Sales_Volume_kg]]</f>
        <v>768</v>
      </c>
    </row>
    <row r="47" spans="1:7" x14ac:dyDescent="0.35">
      <c r="A47" s="1">
        <v>45242</v>
      </c>
      <c r="B47" t="s">
        <v>6</v>
      </c>
      <c r="C47" t="s">
        <v>9</v>
      </c>
      <c r="D47">
        <v>0.39</v>
      </c>
      <c r="E47">
        <v>6</v>
      </c>
      <c r="F47">
        <v>230</v>
      </c>
      <c r="G47">
        <f>practice_dataset_excel_practical_task[[#This Row],[Price_per_kg]]*practice_dataset_excel_practical_task[[#This Row],[Sales_Volume_kg]]</f>
        <v>1380</v>
      </c>
    </row>
    <row r="48" spans="1:7" x14ac:dyDescent="0.35">
      <c r="A48" s="1">
        <v>45249</v>
      </c>
      <c r="B48" t="s">
        <v>8</v>
      </c>
      <c r="C48" t="s">
        <v>7</v>
      </c>
      <c r="D48">
        <v>0.31</v>
      </c>
      <c r="E48">
        <v>4</v>
      </c>
      <c r="F48">
        <v>150</v>
      </c>
      <c r="G48">
        <f>practice_dataset_excel_practical_task[[#This Row],[Price_per_kg]]*practice_dataset_excel_practical_task[[#This Row],[Sales_Volume_kg]]</f>
        <v>600</v>
      </c>
    </row>
    <row r="49" spans="1:7" x14ac:dyDescent="0.35">
      <c r="A49" s="1">
        <v>45256</v>
      </c>
      <c r="B49" t="s">
        <v>10</v>
      </c>
      <c r="C49" t="s">
        <v>9</v>
      </c>
      <c r="D49">
        <v>0.42</v>
      </c>
      <c r="E49">
        <v>3.9</v>
      </c>
      <c r="F49">
        <v>170</v>
      </c>
      <c r="G49">
        <f>practice_dataset_excel_practical_task[[#This Row],[Price_per_kg]]*practice_dataset_excel_practical_task[[#This Row],[Sales_Volume_kg]]</f>
        <v>663</v>
      </c>
    </row>
    <row r="50" spans="1:7" x14ac:dyDescent="0.35">
      <c r="A50" s="1">
        <v>45263</v>
      </c>
      <c r="B50" t="s">
        <v>11</v>
      </c>
      <c r="C50" t="s">
        <v>7</v>
      </c>
      <c r="D50">
        <v>0.33</v>
      </c>
      <c r="E50">
        <v>5.5</v>
      </c>
      <c r="F50">
        <v>120</v>
      </c>
      <c r="G50">
        <f>practice_dataset_excel_practical_task[[#This Row],[Price_per_kg]]*practice_dataset_excel_practical_task[[#This Row],[Sales_Volume_kg]]</f>
        <v>660</v>
      </c>
    </row>
    <row r="51" spans="1:7" x14ac:dyDescent="0.35">
      <c r="A51" s="1">
        <v>45270</v>
      </c>
      <c r="B51" t="s">
        <v>12</v>
      </c>
      <c r="C51" t="s">
        <v>9</v>
      </c>
      <c r="D51">
        <v>0.41</v>
      </c>
      <c r="E51">
        <v>4.5</v>
      </c>
      <c r="F51">
        <v>200</v>
      </c>
      <c r="G51">
        <f>practice_dataset_excel_practical_task[[#This Row],[Price_per_kg]]*practice_dataset_excel_practical_task[[#This Row],[Sales_Volume_kg]]</f>
        <v>900</v>
      </c>
    </row>
    <row r="52" spans="1:7" x14ac:dyDescent="0.35">
      <c r="A52" s="1">
        <v>45277</v>
      </c>
      <c r="B52" t="s">
        <v>6</v>
      </c>
      <c r="C52" t="s">
        <v>7</v>
      </c>
      <c r="D52">
        <v>0.35</v>
      </c>
      <c r="E52">
        <v>5.0999999999999996</v>
      </c>
      <c r="F52">
        <v>210</v>
      </c>
      <c r="G52">
        <f>practice_dataset_excel_practical_task[[#This Row],[Price_per_kg]]*practice_dataset_excel_practical_task[[#This Row],[Sales_Volume_kg]]</f>
        <v>1071</v>
      </c>
    </row>
    <row r="53" spans="1:7" x14ac:dyDescent="0.35">
      <c r="A53" s="1">
        <v>45284</v>
      </c>
      <c r="B53" t="s">
        <v>8</v>
      </c>
      <c r="C53" t="s">
        <v>9</v>
      </c>
      <c r="D53">
        <v>0.31</v>
      </c>
      <c r="E53">
        <v>4.8</v>
      </c>
      <c r="F53">
        <v>195</v>
      </c>
      <c r="G53">
        <f>practice_dataset_excel_practical_task[[#This Row],[Price_per_kg]]*practice_dataset_excel_practical_task[[#This Row],[Sales_Volume_kg]]</f>
        <v>936</v>
      </c>
    </row>
    <row r="54" spans="1:7" x14ac:dyDescent="0.35">
      <c r="A54" s="1">
        <v>45291</v>
      </c>
      <c r="B54" t="s">
        <v>10</v>
      </c>
      <c r="C54" t="s">
        <v>7</v>
      </c>
      <c r="D54">
        <v>0.43</v>
      </c>
      <c r="E54">
        <v>6.2</v>
      </c>
      <c r="F54">
        <v>145</v>
      </c>
      <c r="G54">
        <f>practice_dataset_excel_practical_task[[#This Row],[Price_per_kg]]*practice_dataset_excel_practical_task[[#This Row],[Sales_Volume_kg]]</f>
        <v>899</v>
      </c>
    </row>
    <row r="55" spans="1:7" x14ac:dyDescent="0.35">
      <c r="A55" s="1">
        <v>45298</v>
      </c>
      <c r="B55" t="s">
        <v>11</v>
      </c>
      <c r="C55" t="s">
        <v>9</v>
      </c>
      <c r="D55">
        <v>0.37</v>
      </c>
      <c r="E55">
        <v>4.9000000000000004</v>
      </c>
      <c r="F55">
        <v>205</v>
      </c>
      <c r="G55">
        <f>practice_dataset_excel_practical_task[[#This Row],[Price_per_kg]]*practice_dataset_excel_practical_task[[#This Row],[Sales_Volume_kg]]</f>
        <v>1004.5000000000001</v>
      </c>
    </row>
    <row r="56" spans="1:7" x14ac:dyDescent="0.35">
      <c r="A56" s="1">
        <v>45305</v>
      </c>
      <c r="B56" t="s">
        <v>12</v>
      </c>
      <c r="C56" t="s">
        <v>7</v>
      </c>
      <c r="D56">
        <v>0.28999999999999998</v>
      </c>
      <c r="E56">
        <v>3.7</v>
      </c>
      <c r="F56">
        <v>160</v>
      </c>
      <c r="G56">
        <f>practice_dataset_excel_practical_task[[#This Row],[Price_per_kg]]*practice_dataset_excel_practical_task[[#This Row],[Sales_Volume_kg]]</f>
        <v>592</v>
      </c>
    </row>
    <row r="57" spans="1:7" x14ac:dyDescent="0.35">
      <c r="A57" s="1">
        <v>45312</v>
      </c>
      <c r="B57" t="s">
        <v>6</v>
      </c>
      <c r="C57" t="s">
        <v>9</v>
      </c>
      <c r="D57">
        <v>0.39</v>
      </c>
      <c r="E57">
        <v>5.3</v>
      </c>
      <c r="F57">
        <v>180</v>
      </c>
      <c r="G57">
        <f>practice_dataset_excel_practical_task[[#This Row],[Price_per_kg]]*practice_dataset_excel_practical_task[[#This Row],[Sales_Volume_kg]]</f>
        <v>954</v>
      </c>
    </row>
    <row r="58" spans="1:7" x14ac:dyDescent="0.35">
      <c r="A58" s="1">
        <v>45319</v>
      </c>
      <c r="B58" t="s">
        <v>8</v>
      </c>
      <c r="C58" t="s">
        <v>7</v>
      </c>
      <c r="D58">
        <v>0.42</v>
      </c>
      <c r="E58">
        <v>4.4000000000000004</v>
      </c>
      <c r="F58">
        <v>210</v>
      </c>
      <c r="G58">
        <f>practice_dataset_excel_practical_task[[#This Row],[Price_per_kg]]*practice_dataset_excel_practical_task[[#This Row],[Sales_Volume_kg]]</f>
        <v>924.00000000000011</v>
      </c>
    </row>
    <row r="59" spans="1:7" x14ac:dyDescent="0.35">
      <c r="A59" s="1">
        <v>45326</v>
      </c>
      <c r="B59" t="s">
        <v>10</v>
      </c>
      <c r="C59" t="s">
        <v>9</v>
      </c>
      <c r="D59">
        <v>0.4</v>
      </c>
      <c r="E59">
        <v>5.9</v>
      </c>
      <c r="F59">
        <v>200</v>
      </c>
      <c r="G59">
        <f>practice_dataset_excel_practical_task[[#This Row],[Price_per_kg]]*practice_dataset_excel_practical_task[[#This Row],[Sales_Volume_kg]]</f>
        <v>1180</v>
      </c>
    </row>
    <row r="60" spans="1:7" x14ac:dyDescent="0.35">
      <c r="A60" s="1">
        <v>45333</v>
      </c>
      <c r="B60" t="s">
        <v>11</v>
      </c>
      <c r="C60" t="s">
        <v>7</v>
      </c>
      <c r="D60">
        <v>0.3</v>
      </c>
      <c r="E60">
        <v>4.8</v>
      </c>
      <c r="F60">
        <v>150</v>
      </c>
      <c r="G60">
        <f>practice_dataset_excel_practical_task[[#This Row],[Price_per_kg]]*practice_dataset_excel_practical_task[[#This Row],[Sales_Volume_kg]]</f>
        <v>720</v>
      </c>
    </row>
    <row r="61" spans="1:7" x14ac:dyDescent="0.35">
      <c r="A61" s="1">
        <v>45340</v>
      </c>
      <c r="B61" t="s">
        <v>12</v>
      </c>
      <c r="C61" t="s">
        <v>9</v>
      </c>
      <c r="D61">
        <v>0.33</v>
      </c>
      <c r="E61">
        <v>3.75</v>
      </c>
      <c r="F61">
        <v>130</v>
      </c>
      <c r="G61">
        <f>practice_dataset_excel_practical_task[[#This Row],[Price_per_kg]]*practice_dataset_excel_practical_task[[#This Row],[Sales_Volume_kg]]</f>
        <v>487.5</v>
      </c>
    </row>
    <row r="62" spans="1:7" x14ac:dyDescent="0.35">
      <c r="A62" s="1">
        <v>45347</v>
      </c>
      <c r="B62" t="s">
        <v>6</v>
      </c>
      <c r="C62" t="s">
        <v>7</v>
      </c>
      <c r="D62">
        <v>0.44</v>
      </c>
      <c r="E62">
        <v>5.0999999999999996</v>
      </c>
      <c r="F62">
        <v>220</v>
      </c>
      <c r="G62">
        <f>practice_dataset_excel_practical_task[[#This Row],[Price_per_kg]]*practice_dataset_excel_practical_task[[#This Row],[Sales_Volume_kg]]</f>
        <v>1122</v>
      </c>
    </row>
    <row r="63" spans="1:7" x14ac:dyDescent="0.35">
      <c r="A63" s="1">
        <v>45354</v>
      </c>
      <c r="B63" t="s">
        <v>8</v>
      </c>
      <c r="C63" t="s">
        <v>9</v>
      </c>
      <c r="D63">
        <v>0.36</v>
      </c>
      <c r="E63">
        <v>4.5999999999999996</v>
      </c>
      <c r="F63">
        <v>170</v>
      </c>
      <c r="G63">
        <f>practice_dataset_excel_practical_task[[#This Row],[Price_per_kg]]*practice_dataset_excel_practical_task[[#This Row],[Sales_Volume_kg]]</f>
        <v>781.99999999999989</v>
      </c>
    </row>
    <row r="64" spans="1:7" x14ac:dyDescent="0.35">
      <c r="A64" s="1">
        <v>45361</v>
      </c>
      <c r="B64" t="s">
        <v>10</v>
      </c>
      <c r="C64" t="s">
        <v>7</v>
      </c>
      <c r="D64">
        <v>0.31</v>
      </c>
      <c r="E64">
        <v>4</v>
      </c>
      <c r="F64">
        <v>190</v>
      </c>
      <c r="G64">
        <f>practice_dataset_excel_practical_task[[#This Row],[Price_per_kg]]*practice_dataset_excel_practical_task[[#This Row],[Sales_Volume_kg]]</f>
        <v>760</v>
      </c>
    </row>
    <row r="65" spans="1:7" x14ac:dyDescent="0.35">
      <c r="A65" s="1">
        <v>45368</v>
      </c>
      <c r="B65" t="s">
        <v>11</v>
      </c>
      <c r="C65" t="s">
        <v>9</v>
      </c>
      <c r="D65">
        <v>0.35</v>
      </c>
      <c r="E65">
        <v>6</v>
      </c>
      <c r="F65">
        <v>140</v>
      </c>
      <c r="G65">
        <f>practice_dataset_excel_practical_task[[#This Row],[Price_per_kg]]*practice_dataset_excel_practical_task[[#This Row],[Sales_Volume_kg]]</f>
        <v>840</v>
      </c>
    </row>
    <row r="66" spans="1:7" x14ac:dyDescent="0.35">
      <c r="A66" s="1">
        <v>45375</v>
      </c>
      <c r="B66" t="s">
        <v>12</v>
      </c>
      <c r="C66" t="s">
        <v>7</v>
      </c>
      <c r="D66">
        <v>0.38</v>
      </c>
      <c r="E66">
        <v>5.3</v>
      </c>
      <c r="F66">
        <v>165</v>
      </c>
      <c r="G66">
        <f>practice_dataset_excel_practical_task[[#This Row],[Price_per_kg]]*practice_dataset_excel_practical_task[[#This Row],[Sales_Volume_kg]]</f>
        <v>874.5</v>
      </c>
    </row>
    <row r="67" spans="1:7" x14ac:dyDescent="0.35">
      <c r="A67" s="1">
        <v>45382</v>
      </c>
      <c r="B67" t="s">
        <v>6</v>
      </c>
      <c r="C67" t="s">
        <v>9</v>
      </c>
      <c r="D67">
        <v>0.32</v>
      </c>
      <c r="E67">
        <v>4.7</v>
      </c>
      <c r="F67">
        <v>180</v>
      </c>
      <c r="G67">
        <f>practice_dataset_excel_practical_task[[#This Row],[Price_per_kg]]*practice_dataset_excel_practical_task[[#This Row],[Sales_Volume_kg]]</f>
        <v>846</v>
      </c>
    </row>
    <row r="68" spans="1:7" x14ac:dyDescent="0.35">
      <c r="A68" s="1">
        <v>45389</v>
      </c>
      <c r="B68" t="s">
        <v>8</v>
      </c>
      <c r="C68" t="s">
        <v>7</v>
      </c>
      <c r="D68">
        <v>0.27</v>
      </c>
      <c r="E68">
        <v>4.0999999999999996</v>
      </c>
      <c r="F68">
        <v>195</v>
      </c>
      <c r="G68">
        <f>practice_dataset_excel_practical_task[[#This Row],[Price_per_kg]]*practice_dataset_excel_practical_task[[#This Row],[Sales_Volume_kg]]</f>
        <v>799.49999999999989</v>
      </c>
    </row>
    <row r="69" spans="1:7" x14ac:dyDescent="0.35">
      <c r="A69" s="1">
        <v>45396</v>
      </c>
      <c r="B69" t="s">
        <v>10</v>
      </c>
      <c r="C69" t="s">
        <v>9</v>
      </c>
      <c r="D69">
        <v>0.37</v>
      </c>
      <c r="E69">
        <v>5.2</v>
      </c>
      <c r="F69">
        <v>120</v>
      </c>
      <c r="G69">
        <f>practice_dataset_excel_practical_task[[#This Row],[Price_per_kg]]*practice_dataset_excel_practical_task[[#This Row],[Sales_Volume_kg]]</f>
        <v>624</v>
      </c>
    </row>
    <row r="70" spans="1:7" x14ac:dyDescent="0.35">
      <c r="A70" s="1">
        <v>45403</v>
      </c>
      <c r="B70" t="s">
        <v>11</v>
      </c>
      <c r="C70" t="s">
        <v>7</v>
      </c>
      <c r="D70">
        <v>0.36</v>
      </c>
      <c r="E70">
        <v>3.9</v>
      </c>
      <c r="F70">
        <v>150</v>
      </c>
      <c r="G70">
        <f>practice_dataset_excel_practical_task[[#This Row],[Price_per_kg]]*practice_dataset_excel_practical_task[[#This Row],[Sales_Volume_kg]]</f>
        <v>585</v>
      </c>
    </row>
    <row r="71" spans="1:7" x14ac:dyDescent="0.35">
      <c r="A71" s="1">
        <v>45410</v>
      </c>
      <c r="B71" t="s">
        <v>12</v>
      </c>
      <c r="C71" t="s">
        <v>9</v>
      </c>
      <c r="D71">
        <v>0.41</v>
      </c>
      <c r="E71">
        <v>5</v>
      </c>
      <c r="F71">
        <v>180</v>
      </c>
      <c r="G71">
        <f>practice_dataset_excel_practical_task[[#This Row],[Price_per_kg]]*practice_dataset_excel_practical_task[[#This Row],[Sales_Volume_kg]]</f>
        <v>900</v>
      </c>
    </row>
    <row r="72" spans="1:7" x14ac:dyDescent="0.35">
      <c r="A72" s="1">
        <v>45417</v>
      </c>
      <c r="B72" t="s">
        <v>6</v>
      </c>
      <c r="C72" t="s">
        <v>7</v>
      </c>
      <c r="D72">
        <v>0.4</v>
      </c>
      <c r="E72">
        <v>4.4000000000000004</v>
      </c>
      <c r="F72">
        <v>210</v>
      </c>
      <c r="G72">
        <f>practice_dataset_excel_practical_task[[#This Row],[Price_per_kg]]*practice_dataset_excel_practical_task[[#This Row],[Sales_Volume_kg]]</f>
        <v>924.00000000000011</v>
      </c>
    </row>
    <row r="73" spans="1:7" x14ac:dyDescent="0.35">
      <c r="A73" s="1">
        <v>45424</v>
      </c>
      <c r="B73" t="s">
        <v>8</v>
      </c>
      <c r="C73" t="s">
        <v>9</v>
      </c>
      <c r="D73">
        <v>0.3</v>
      </c>
      <c r="E73">
        <v>5.0999999999999996</v>
      </c>
      <c r="F73">
        <v>140</v>
      </c>
      <c r="G73">
        <f>practice_dataset_excel_practical_task[[#This Row],[Price_per_kg]]*practice_dataset_excel_practical_task[[#This Row],[Sales_Volume_kg]]</f>
        <v>714</v>
      </c>
    </row>
    <row r="74" spans="1:7" x14ac:dyDescent="0.35">
      <c r="A74" s="1">
        <v>45431</v>
      </c>
      <c r="B74" t="s">
        <v>10</v>
      </c>
      <c r="C74" t="s">
        <v>7</v>
      </c>
      <c r="D74">
        <v>0.28999999999999998</v>
      </c>
      <c r="E74">
        <v>6</v>
      </c>
      <c r="F74">
        <v>160</v>
      </c>
      <c r="G74">
        <f>practice_dataset_excel_practical_task[[#This Row],[Price_per_kg]]*practice_dataset_excel_practical_task[[#This Row],[Sales_Volume_kg]]</f>
        <v>960</v>
      </c>
    </row>
    <row r="75" spans="1:7" x14ac:dyDescent="0.35">
      <c r="A75" s="1">
        <v>45438</v>
      </c>
      <c r="B75" t="s">
        <v>11</v>
      </c>
      <c r="C75" t="s">
        <v>9</v>
      </c>
      <c r="D75">
        <v>0.32</v>
      </c>
      <c r="E75">
        <v>4.9000000000000004</v>
      </c>
      <c r="F75">
        <v>135</v>
      </c>
      <c r="G75">
        <f>practice_dataset_excel_practical_task[[#This Row],[Price_per_kg]]*practice_dataset_excel_practical_task[[#This Row],[Sales_Volume_kg]]</f>
        <v>661.5</v>
      </c>
    </row>
    <row r="76" spans="1:7" x14ac:dyDescent="0.35">
      <c r="A76" s="1">
        <v>45445</v>
      </c>
      <c r="B76" t="s">
        <v>12</v>
      </c>
      <c r="C76" t="s">
        <v>7</v>
      </c>
      <c r="D76">
        <v>0.39</v>
      </c>
      <c r="E76">
        <v>5.2</v>
      </c>
      <c r="F76">
        <v>170</v>
      </c>
      <c r="G76">
        <f>practice_dataset_excel_practical_task[[#This Row],[Price_per_kg]]*practice_dataset_excel_practical_task[[#This Row],[Sales_Volume_kg]]</f>
        <v>884</v>
      </c>
    </row>
    <row r="77" spans="1:7" x14ac:dyDescent="0.35">
      <c r="A77" s="1">
        <v>45452</v>
      </c>
      <c r="B77" t="s">
        <v>6</v>
      </c>
      <c r="C77" t="s">
        <v>9</v>
      </c>
      <c r="D77">
        <v>0.42</v>
      </c>
      <c r="E77">
        <v>3.8</v>
      </c>
      <c r="F77">
        <v>130</v>
      </c>
      <c r="G77">
        <f>practice_dataset_excel_practical_task[[#This Row],[Price_per_kg]]*practice_dataset_excel_practical_task[[#This Row],[Sales_Volume_kg]]</f>
        <v>494</v>
      </c>
    </row>
    <row r="78" spans="1:7" x14ac:dyDescent="0.35">
      <c r="A78" s="1">
        <v>45459</v>
      </c>
      <c r="B78" t="s">
        <v>8</v>
      </c>
      <c r="C78" t="s">
        <v>7</v>
      </c>
      <c r="D78">
        <v>0.34</v>
      </c>
      <c r="E78">
        <v>5.6</v>
      </c>
      <c r="F78">
        <v>120</v>
      </c>
      <c r="G78">
        <f>practice_dataset_excel_practical_task[[#This Row],[Price_per_kg]]*practice_dataset_excel_practical_task[[#This Row],[Sales_Volume_kg]]</f>
        <v>672</v>
      </c>
    </row>
    <row r="79" spans="1:7" x14ac:dyDescent="0.35">
      <c r="A79" s="1">
        <v>45466</v>
      </c>
      <c r="B79" t="s">
        <v>10</v>
      </c>
      <c r="C79" t="s">
        <v>9</v>
      </c>
      <c r="D79">
        <v>0.31</v>
      </c>
      <c r="E79">
        <v>4.2</v>
      </c>
      <c r="F79">
        <v>140</v>
      </c>
      <c r="G79">
        <f>practice_dataset_excel_practical_task[[#This Row],[Price_per_kg]]*practice_dataset_excel_practical_task[[#This Row],[Sales_Volume_kg]]</f>
        <v>588</v>
      </c>
    </row>
    <row r="80" spans="1:7" x14ac:dyDescent="0.35">
      <c r="A80" s="1">
        <v>45473</v>
      </c>
      <c r="B80" t="s">
        <v>11</v>
      </c>
      <c r="C80" t="s">
        <v>7</v>
      </c>
      <c r="D80">
        <v>0.37</v>
      </c>
      <c r="E80">
        <v>4.3</v>
      </c>
      <c r="F80">
        <v>180</v>
      </c>
      <c r="G80">
        <f>practice_dataset_excel_practical_task[[#This Row],[Price_per_kg]]*practice_dataset_excel_practical_task[[#This Row],[Sales_Volume_kg]]</f>
        <v>774</v>
      </c>
    </row>
    <row r="81" spans="1:7" x14ac:dyDescent="0.35">
      <c r="A81" s="1">
        <v>45480</v>
      </c>
      <c r="B81" t="s">
        <v>12</v>
      </c>
      <c r="C81" t="s">
        <v>9</v>
      </c>
      <c r="D81">
        <v>0.4</v>
      </c>
      <c r="E81">
        <v>5.5</v>
      </c>
      <c r="F81">
        <v>210</v>
      </c>
      <c r="G81">
        <f>practice_dataset_excel_practical_task[[#This Row],[Price_per_kg]]*practice_dataset_excel_practical_task[[#This Row],[Sales_Volume_kg]]</f>
        <v>1155</v>
      </c>
    </row>
    <row r="82" spans="1:7" x14ac:dyDescent="0.35">
      <c r="A82" s="1">
        <v>45487</v>
      </c>
      <c r="B82" t="s">
        <v>6</v>
      </c>
      <c r="C82" t="s">
        <v>7</v>
      </c>
      <c r="D82">
        <v>0.28000000000000003</v>
      </c>
      <c r="E82">
        <v>4.9000000000000004</v>
      </c>
      <c r="F82">
        <v>190</v>
      </c>
      <c r="G82">
        <f>practice_dataset_excel_practical_task[[#This Row],[Price_per_kg]]*practice_dataset_excel_practical_task[[#This Row],[Sales_Volume_kg]]</f>
        <v>931.00000000000011</v>
      </c>
    </row>
    <row r="83" spans="1:7" x14ac:dyDescent="0.35">
      <c r="A83" s="1">
        <v>45494</v>
      </c>
      <c r="B83" t="s">
        <v>8</v>
      </c>
      <c r="C83" t="s">
        <v>9</v>
      </c>
      <c r="D83">
        <v>0.3</v>
      </c>
      <c r="E83">
        <v>6.1</v>
      </c>
      <c r="F83">
        <v>150</v>
      </c>
      <c r="G83">
        <f>practice_dataset_excel_practical_task[[#This Row],[Price_per_kg]]*practice_dataset_excel_practical_task[[#This Row],[Sales_Volume_kg]]</f>
        <v>915</v>
      </c>
    </row>
    <row r="84" spans="1:7" x14ac:dyDescent="0.35">
      <c r="A84" s="1">
        <v>45501</v>
      </c>
      <c r="B84" t="s">
        <v>10</v>
      </c>
      <c r="C84" t="s">
        <v>7</v>
      </c>
      <c r="D84">
        <v>0.32</v>
      </c>
      <c r="E84">
        <v>4</v>
      </c>
      <c r="F84">
        <v>160</v>
      </c>
      <c r="G84">
        <f>practice_dataset_excel_practical_task[[#This Row],[Price_per_kg]]*practice_dataset_excel_practical_task[[#This Row],[Sales_Volume_kg]]</f>
        <v>640</v>
      </c>
    </row>
    <row r="85" spans="1:7" x14ac:dyDescent="0.35">
      <c r="A85" s="1">
        <v>45508</v>
      </c>
      <c r="B85" t="s">
        <v>11</v>
      </c>
      <c r="C85" t="s">
        <v>9</v>
      </c>
      <c r="D85">
        <v>0.38</v>
      </c>
      <c r="E85">
        <v>5.2</v>
      </c>
      <c r="F85">
        <v>130</v>
      </c>
      <c r="G85">
        <f>practice_dataset_excel_practical_task[[#This Row],[Price_per_kg]]*practice_dataset_excel_practical_task[[#This Row],[Sales_Volume_kg]]</f>
        <v>676</v>
      </c>
    </row>
    <row r="86" spans="1:7" x14ac:dyDescent="0.35">
      <c r="A86" s="1">
        <v>45515</v>
      </c>
      <c r="B86" t="s">
        <v>12</v>
      </c>
      <c r="C86" t="s">
        <v>7</v>
      </c>
      <c r="D86">
        <v>0.41</v>
      </c>
      <c r="E86">
        <v>3.8</v>
      </c>
      <c r="F86">
        <v>170</v>
      </c>
      <c r="G86">
        <f>practice_dataset_excel_practical_task[[#This Row],[Price_per_kg]]*practice_dataset_excel_practical_task[[#This Row],[Sales_Volume_kg]]</f>
        <v>646</v>
      </c>
    </row>
    <row r="87" spans="1:7" x14ac:dyDescent="0.35">
      <c r="A87" s="1">
        <v>45522</v>
      </c>
      <c r="B87" t="s">
        <v>6</v>
      </c>
      <c r="C87" t="s">
        <v>9</v>
      </c>
      <c r="D87">
        <v>0.35</v>
      </c>
      <c r="E87">
        <v>6.3</v>
      </c>
      <c r="F87">
        <v>200</v>
      </c>
      <c r="G87">
        <f>practice_dataset_excel_practical_task[[#This Row],[Price_per_kg]]*practice_dataset_excel_practical_task[[#This Row],[Sales_Volume_kg]]</f>
        <v>1260</v>
      </c>
    </row>
    <row r="88" spans="1:7" x14ac:dyDescent="0.35">
      <c r="A88" s="1">
        <v>45529</v>
      </c>
      <c r="B88" t="s">
        <v>8</v>
      </c>
      <c r="C88" t="s">
        <v>7</v>
      </c>
      <c r="D88">
        <v>0.28999999999999998</v>
      </c>
      <c r="E88">
        <v>5.6</v>
      </c>
      <c r="F88">
        <v>220</v>
      </c>
      <c r="G88">
        <f>practice_dataset_excel_practical_task[[#This Row],[Price_per_kg]]*practice_dataset_excel_practical_task[[#This Row],[Sales_Volume_kg]]</f>
        <v>1232</v>
      </c>
    </row>
    <row r="89" spans="1:7" x14ac:dyDescent="0.35">
      <c r="A89" s="1">
        <v>45536</v>
      </c>
      <c r="B89" t="s">
        <v>10</v>
      </c>
      <c r="C89" t="s">
        <v>9</v>
      </c>
      <c r="D89">
        <v>0.33</v>
      </c>
      <c r="E89">
        <v>4.5</v>
      </c>
      <c r="F89">
        <v>210</v>
      </c>
      <c r="G89">
        <f>practice_dataset_excel_practical_task[[#This Row],[Price_per_kg]]*practice_dataset_excel_practical_task[[#This Row],[Sales_Volume_kg]]</f>
        <v>945</v>
      </c>
    </row>
    <row r="90" spans="1:7" x14ac:dyDescent="0.35">
      <c r="A90" s="1">
        <v>45543</v>
      </c>
      <c r="B90" t="s">
        <v>11</v>
      </c>
      <c r="C90" t="s">
        <v>7</v>
      </c>
      <c r="D90">
        <v>0.36</v>
      </c>
      <c r="E90">
        <v>5.0999999999999996</v>
      </c>
      <c r="F90">
        <v>130</v>
      </c>
      <c r="G90">
        <f>practice_dataset_excel_practical_task[[#This Row],[Price_per_kg]]*practice_dataset_excel_practical_task[[#This Row],[Sales_Volume_kg]]</f>
        <v>663</v>
      </c>
    </row>
    <row r="91" spans="1:7" x14ac:dyDescent="0.35">
      <c r="A91" s="1">
        <v>45550</v>
      </c>
      <c r="B91" t="s">
        <v>12</v>
      </c>
      <c r="C91" t="s">
        <v>9</v>
      </c>
      <c r="D91">
        <v>0.42</v>
      </c>
      <c r="E91">
        <v>4.8</v>
      </c>
      <c r="F91">
        <v>180</v>
      </c>
      <c r="G91">
        <f>practice_dataset_excel_practical_task[[#This Row],[Price_per_kg]]*practice_dataset_excel_practical_task[[#This Row],[Sales_Volume_kg]]</f>
        <v>864</v>
      </c>
    </row>
    <row r="92" spans="1:7" x14ac:dyDescent="0.35">
      <c r="A92" s="1">
        <v>45557</v>
      </c>
      <c r="B92" t="s">
        <v>6</v>
      </c>
      <c r="C92" t="s">
        <v>7</v>
      </c>
      <c r="D92">
        <v>0.4</v>
      </c>
      <c r="E92">
        <v>5.4</v>
      </c>
      <c r="F92">
        <v>120</v>
      </c>
      <c r="G92">
        <f>practice_dataset_excel_practical_task[[#This Row],[Price_per_kg]]*practice_dataset_excel_practical_task[[#This Row],[Sales_Volume_kg]]</f>
        <v>648</v>
      </c>
    </row>
    <row r="93" spans="1:7" x14ac:dyDescent="0.35">
      <c r="A93" s="1">
        <v>45564</v>
      </c>
      <c r="B93" t="s">
        <v>8</v>
      </c>
      <c r="C93" t="s">
        <v>9</v>
      </c>
      <c r="D93">
        <v>0.34</v>
      </c>
      <c r="E93">
        <v>6.2</v>
      </c>
      <c r="F93">
        <v>230</v>
      </c>
      <c r="G93">
        <f>practice_dataset_excel_practical_task[[#This Row],[Price_per_kg]]*practice_dataset_excel_practical_task[[#This Row],[Sales_Volume_kg]]</f>
        <v>1426</v>
      </c>
    </row>
    <row r="94" spans="1:7" x14ac:dyDescent="0.35">
      <c r="A94" s="1">
        <v>45571</v>
      </c>
      <c r="B94" t="s">
        <v>10</v>
      </c>
      <c r="C94" t="s">
        <v>7</v>
      </c>
      <c r="D94">
        <v>0.33</v>
      </c>
      <c r="E94">
        <v>4.7</v>
      </c>
      <c r="F94">
        <v>170</v>
      </c>
      <c r="G94">
        <f>practice_dataset_excel_practical_task[[#This Row],[Price_per_kg]]*practice_dataset_excel_practical_task[[#This Row],[Sales_Volume_kg]]</f>
        <v>799</v>
      </c>
    </row>
    <row r="95" spans="1:7" x14ac:dyDescent="0.35">
      <c r="A95" s="1">
        <v>45578</v>
      </c>
      <c r="B95" t="s">
        <v>11</v>
      </c>
      <c r="C95" t="s">
        <v>9</v>
      </c>
      <c r="D95">
        <v>0.3</v>
      </c>
      <c r="E95">
        <v>3.9</v>
      </c>
      <c r="F95">
        <v>140</v>
      </c>
      <c r="G95">
        <f>practice_dataset_excel_practical_task[[#This Row],[Price_per_kg]]*practice_dataset_excel_practical_task[[#This Row],[Sales_Volume_kg]]</f>
        <v>546</v>
      </c>
    </row>
    <row r="96" spans="1:7" x14ac:dyDescent="0.35">
      <c r="A96" s="1">
        <v>45585</v>
      </c>
      <c r="B96" t="s">
        <v>12</v>
      </c>
      <c r="C96" t="s">
        <v>7</v>
      </c>
      <c r="D96">
        <v>0.28999999999999998</v>
      </c>
      <c r="E96">
        <v>5.3</v>
      </c>
      <c r="F96">
        <v>150</v>
      </c>
      <c r="G96">
        <f>practice_dataset_excel_practical_task[[#This Row],[Price_per_kg]]*practice_dataset_excel_practical_task[[#This Row],[Sales_Volume_kg]]</f>
        <v>795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32DB-BB26-4186-834E-A20EE24D6915}">
  <dimension ref="A1:D109"/>
  <sheetViews>
    <sheetView workbookViewId="0">
      <selection activeCell="A17" sqref="A17"/>
    </sheetView>
  </sheetViews>
  <sheetFormatPr defaultRowHeight="14.5" x14ac:dyDescent="0.35"/>
  <cols>
    <col min="1" max="1" width="12.90625" customWidth="1"/>
    <col min="2" max="2" width="11.36328125" bestFit="1" customWidth="1"/>
    <col min="3" max="3" width="9.90625" bestFit="1" customWidth="1"/>
  </cols>
  <sheetData>
    <row r="1" spans="1:4" x14ac:dyDescent="0.35">
      <c r="A1" t="s">
        <v>12</v>
      </c>
    </row>
    <row r="2" spans="1:4" x14ac:dyDescent="0.35">
      <c r="A2" t="s">
        <v>24</v>
      </c>
      <c r="B2" t="s">
        <v>25</v>
      </c>
      <c r="C2" t="s">
        <v>27</v>
      </c>
      <c r="D2">
        <f>CORREL(A3:A21,B3:B21)</f>
        <v>0.47104484527483031</v>
      </c>
    </row>
    <row r="3" spans="1:4" x14ac:dyDescent="0.35">
      <c r="A3">
        <v>0.36</v>
      </c>
      <c r="B3">
        <v>160</v>
      </c>
    </row>
    <row r="4" spans="1:4" x14ac:dyDescent="0.35">
      <c r="A4">
        <v>0.41</v>
      </c>
      <c r="B4">
        <v>230</v>
      </c>
    </row>
    <row r="5" spans="1:4" x14ac:dyDescent="0.35">
      <c r="A5">
        <v>0.38</v>
      </c>
      <c r="B5">
        <v>180</v>
      </c>
    </row>
    <row r="6" spans="1:4" x14ac:dyDescent="0.35">
      <c r="A6">
        <v>0.41</v>
      </c>
      <c r="B6">
        <v>220</v>
      </c>
    </row>
    <row r="7" spans="1:4" x14ac:dyDescent="0.35">
      <c r="A7">
        <v>0.35</v>
      </c>
      <c r="B7">
        <v>180</v>
      </c>
    </row>
    <row r="8" spans="1:4" x14ac:dyDescent="0.35">
      <c r="A8">
        <v>0.36</v>
      </c>
      <c r="B8">
        <v>230</v>
      </c>
    </row>
    <row r="9" spans="1:4" x14ac:dyDescent="0.35">
      <c r="A9">
        <v>0.28999999999999998</v>
      </c>
      <c r="B9">
        <v>175</v>
      </c>
    </row>
    <row r="10" spans="1:4" x14ac:dyDescent="0.35">
      <c r="A10">
        <v>0.38</v>
      </c>
      <c r="B10">
        <v>130</v>
      </c>
    </row>
    <row r="11" spans="1:4" x14ac:dyDescent="0.35">
      <c r="A11">
        <v>0.32</v>
      </c>
      <c r="B11">
        <v>160</v>
      </c>
    </row>
    <row r="12" spans="1:4" x14ac:dyDescent="0.35">
      <c r="A12">
        <v>0.41</v>
      </c>
      <c r="B12">
        <v>200</v>
      </c>
    </row>
    <row r="13" spans="1:4" x14ac:dyDescent="0.35">
      <c r="A13">
        <v>0.28999999999999998</v>
      </c>
      <c r="B13">
        <v>160</v>
      </c>
    </row>
    <row r="14" spans="1:4" x14ac:dyDescent="0.35">
      <c r="A14">
        <v>0.33</v>
      </c>
      <c r="B14">
        <v>130</v>
      </c>
    </row>
    <row r="15" spans="1:4" x14ac:dyDescent="0.35">
      <c r="A15">
        <v>0.38</v>
      </c>
      <c r="B15">
        <v>165</v>
      </c>
    </row>
    <row r="16" spans="1:4" x14ac:dyDescent="0.35">
      <c r="A16">
        <v>0.41</v>
      </c>
      <c r="B16">
        <v>180</v>
      </c>
    </row>
    <row r="17" spans="1:4" x14ac:dyDescent="0.35">
      <c r="A17">
        <v>0.39</v>
      </c>
      <c r="B17">
        <v>170</v>
      </c>
    </row>
    <row r="18" spans="1:4" x14ac:dyDescent="0.35">
      <c r="A18">
        <v>0.4</v>
      </c>
      <c r="B18">
        <v>210</v>
      </c>
    </row>
    <row r="19" spans="1:4" x14ac:dyDescent="0.35">
      <c r="A19">
        <v>0.41</v>
      </c>
      <c r="B19">
        <v>170</v>
      </c>
    </row>
    <row r="20" spans="1:4" x14ac:dyDescent="0.35">
      <c r="A20">
        <v>0.42</v>
      </c>
      <c r="B20">
        <v>180</v>
      </c>
    </row>
    <row r="21" spans="1:4" x14ac:dyDescent="0.35">
      <c r="A21">
        <v>0.28999999999999998</v>
      </c>
      <c r="B21">
        <v>150</v>
      </c>
    </row>
    <row r="23" spans="1:4" x14ac:dyDescent="0.35">
      <c r="A23" t="s">
        <v>10</v>
      </c>
    </row>
    <row r="24" spans="1:4" x14ac:dyDescent="0.35">
      <c r="A24" t="s">
        <v>24</v>
      </c>
      <c r="B24" t="s">
        <v>26</v>
      </c>
      <c r="C24" t="s">
        <v>27</v>
      </c>
      <c r="D24">
        <f>CORREL(A25:A43,B25:B43)</f>
        <v>2.212052051696715E-3</v>
      </c>
    </row>
    <row r="25" spans="1:4" x14ac:dyDescent="0.35">
      <c r="A25">
        <v>0.39</v>
      </c>
      <c r="B25">
        <v>120</v>
      </c>
    </row>
    <row r="26" spans="1:4" x14ac:dyDescent="0.35">
      <c r="A26">
        <v>0.35</v>
      </c>
      <c r="B26">
        <v>140</v>
      </c>
    </row>
    <row r="27" spans="1:4" x14ac:dyDescent="0.35">
      <c r="A27">
        <v>0.31</v>
      </c>
      <c r="B27">
        <v>130</v>
      </c>
    </row>
    <row r="28" spans="1:4" x14ac:dyDescent="0.35">
      <c r="A28">
        <v>0.34</v>
      </c>
      <c r="B28">
        <v>145</v>
      </c>
    </row>
    <row r="29" spans="1:4" x14ac:dyDescent="0.35">
      <c r="A29">
        <v>0.32</v>
      </c>
      <c r="B29">
        <v>170</v>
      </c>
    </row>
    <row r="30" spans="1:4" x14ac:dyDescent="0.35">
      <c r="A30">
        <v>0.39</v>
      </c>
      <c r="B30">
        <v>120</v>
      </c>
    </row>
    <row r="31" spans="1:4" x14ac:dyDescent="0.35">
      <c r="A31">
        <v>0.4</v>
      </c>
      <c r="B31">
        <v>150</v>
      </c>
    </row>
    <row r="32" spans="1:4" x14ac:dyDescent="0.35">
      <c r="A32">
        <v>0.28000000000000003</v>
      </c>
      <c r="B32">
        <v>110</v>
      </c>
    </row>
    <row r="33" spans="1:4" x14ac:dyDescent="0.35">
      <c r="A33">
        <v>0.36</v>
      </c>
      <c r="B33">
        <v>170</v>
      </c>
    </row>
    <row r="34" spans="1:4" x14ac:dyDescent="0.35">
      <c r="A34">
        <v>0.42</v>
      </c>
      <c r="B34">
        <v>170</v>
      </c>
    </row>
    <row r="35" spans="1:4" x14ac:dyDescent="0.35">
      <c r="A35">
        <v>0.43</v>
      </c>
      <c r="B35">
        <v>145</v>
      </c>
    </row>
    <row r="36" spans="1:4" x14ac:dyDescent="0.35">
      <c r="A36">
        <v>0.4</v>
      </c>
      <c r="B36">
        <v>200</v>
      </c>
    </row>
    <row r="37" spans="1:4" x14ac:dyDescent="0.35">
      <c r="A37">
        <v>0.31</v>
      </c>
      <c r="B37">
        <v>190</v>
      </c>
    </row>
    <row r="38" spans="1:4" x14ac:dyDescent="0.35">
      <c r="A38">
        <v>0.37</v>
      </c>
      <c r="B38">
        <v>120</v>
      </c>
    </row>
    <row r="39" spans="1:4" x14ac:dyDescent="0.35">
      <c r="A39">
        <v>0.28999999999999998</v>
      </c>
      <c r="B39">
        <v>160</v>
      </c>
    </row>
    <row r="40" spans="1:4" x14ac:dyDescent="0.35">
      <c r="A40">
        <v>0.31</v>
      </c>
      <c r="B40">
        <v>140</v>
      </c>
    </row>
    <row r="41" spans="1:4" x14ac:dyDescent="0.35">
      <c r="A41">
        <v>0.32</v>
      </c>
      <c r="B41">
        <v>160</v>
      </c>
    </row>
    <row r="42" spans="1:4" x14ac:dyDescent="0.35">
      <c r="A42">
        <v>0.33</v>
      </c>
      <c r="B42">
        <v>210</v>
      </c>
    </row>
    <row r="43" spans="1:4" x14ac:dyDescent="0.35">
      <c r="A43">
        <v>0.33</v>
      </c>
      <c r="B43">
        <v>170</v>
      </c>
    </row>
    <row r="45" spans="1:4" x14ac:dyDescent="0.35">
      <c r="A45" t="s">
        <v>6</v>
      </c>
    </row>
    <row r="46" spans="1:4" x14ac:dyDescent="0.35">
      <c r="A46" t="s">
        <v>24</v>
      </c>
      <c r="B46" t="s">
        <v>26</v>
      </c>
      <c r="C46" t="s">
        <v>27</v>
      </c>
      <c r="D46">
        <f>-CORREL(A47:A65,B47:B65)</f>
        <v>-0.19783977961770038</v>
      </c>
    </row>
    <row r="47" spans="1:4" x14ac:dyDescent="0.35">
      <c r="A47">
        <v>0.33</v>
      </c>
      <c r="B47">
        <v>150</v>
      </c>
    </row>
    <row r="48" spans="1:4" x14ac:dyDescent="0.35">
      <c r="A48">
        <v>0.44</v>
      </c>
      <c r="B48">
        <v>220</v>
      </c>
    </row>
    <row r="49" spans="1:2" x14ac:dyDescent="0.35">
      <c r="A49">
        <v>0.28999999999999998</v>
      </c>
      <c r="B49">
        <v>110</v>
      </c>
    </row>
    <row r="50" spans="1:2" x14ac:dyDescent="0.35">
      <c r="A50">
        <v>0.36</v>
      </c>
      <c r="B50">
        <v>160</v>
      </c>
    </row>
    <row r="51" spans="1:2" x14ac:dyDescent="0.35">
      <c r="A51">
        <v>0.3</v>
      </c>
      <c r="B51">
        <v>135</v>
      </c>
    </row>
    <row r="52" spans="1:2" x14ac:dyDescent="0.35">
      <c r="A52">
        <v>0.3</v>
      </c>
      <c r="B52">
        <v>190</v>
      </c>
    </row>
    <row r="53" spans="1:2" x14ac:dyDescent="0.35">
      <c r="A53">
        <v>0.37</v>
      </c>
      <c r="B53">
        <v>140</v>
      </c>
    </row>
    <row r="54" spans="1:2" x14ac:dyDescent="0.35">
      <c r="A54">
        <v>0.42</v>
      </c>
      <c r="B54">
        <v>160</v>
      </c>
    </row>
    <row r="55" spans="1:2" x14ac:dyDescent="0.35">
      <c r="A55">
        <v>0.4</v>
      </c>
      <c r="B55">
        <v>115</v>
      </c>
    </row>
    <row r="56" spans="1:2" x14ac:dyDescent="0.35">
      <c r="A56">
        <v>0.39</v>
      </c>
      <c r="B56">
        <v>230</v>
      </c>
    </row>
    <row r="57" spans="1:2" x14ac:dyDescent="0.35">
      <c r="A57">
        <v>0.35</v>
      </c>
      <c r="B57">
        <v>210</v>
      </c>
    </row>
    <row r="58" spans="1:2" x14ac:dyDescent="0.35">
      <c r="A58">
        <v>0.39</v>
      </c>
      <c r="B58">
        <v>180</v>
      </c>
    </row>
    <row r="59" spans="1:2" x14ac:dyDescent="0.35">
      <c r="A59">
        <v>0.44</v>
      </c>
      <c r="B59">
        <v>220</v>
      </c>
    </row>
    <row r="60" spans="1:2" x14ac:dyDescent="0.35">
      <c r="A60">
        <v>0.32</v>
      </c>
      <c r="B60">
        <v>180</v>
      </c>
    </row>
    <row r="61" spans="1:2" x14ac:dyDescent="0.35">
      <c r="A61">
        <v>0.4</v>
      </c>
      <c r="B61">
        <v>210</v>
      </c>
    </row>
    <row r="62" spans="1:2" x14ac:dyDescent="0.35">
      <c r="A62">
        <v>0.42</v>
      </c>
      <c r="B62">
        <v>130</v>
      </c>
    </row>
    <row r="63" spans="1:2" x14ac:dyDescent="0.35">
      <c r="A63">
        <v>0.28000000000000003</v>
      </c>
      <c r="B63">
        <v>190</v>
      </c>
    </row>
    <row r="64" spans="1:2" x14ac:dyDescent="0.35">
      <c r="A64">
        <v>0.35</v>
      </c>
      <c r="B64">
        <v>200</v>
      </c>
    </row>
    <row r="65" spans="1:4" x14ac:dyDescent="0.35">
      <c r="A65">
        <v>0.4</v>
      </c>
      <c r="B65">
        <v>120</v>
      </c>
    </row>
    <row r="67" spans="1:4" x14ac:dyDescent="0.35">
      <c r="A67" t="s">
        <v>8</v>
      </c>
    </row>
    <row r="68" spans="1:4" x14ac:dyDescent="0.35">
      <c r="A68" t="s">
        <v>24</v>
      </c>
      <c r="B68" t="s">
        <v>26</v>
      </c>
      <c r="C68" t="s">
        <v>27</v>
      </c>
      <c r="D68">
        <f>CORREL(A69:A87,B69:B87)</f>
        <v>0.18873917682197108</v>
      </c>
    </row>
    <row r="69" spans="1:4" x14ac:dyDescent="0.35">
      <c r="A69">
        <v>0.45</v>
      </c>
      <c r="B69">
        <v>200</v>
      </c>
    </row>
    <row r="70" spans="1:4" x14ac:dyDescent="0.35">
      <c r="A70">
        <v>0.28000000000000003</v>
      </c>
      <c r="B70">
        <v>190</v>
      </c>
    </row>
    <row r="71" spans="1:4" x14ac:dyDescent="0.35">
      <c r="A71">
        <v>0.43</v>
      </c>
      <c r="B71">
        <v>210</v>
      </c>
    </row>
    <row r="72" spans="1:4" x14ac:dyDescent="0.35">
      <c r="A72">
        <v>0.27</v>
      </c>
      <c r="B72">
        <v>170</v>
      </c>
    </row>
    <row r="73" spans="1:4" x14ac:dyDescent="0.35">
      <c r="A73">
        <v>0.39</v>
      </c>
      <c r="B73">
        <v>160</v>
      </c>
    </row>
    <row r="74" spans="1:4" x14ac:dyDescent="0.35">
      <c r="A74">
        <v>0.34</v>
      </c>
      <c r="B74">
        <v>200</v>
      </c>
    </row>
    <row r="75" spans="1:4" x14ac:dyDescent="0.35">
      <c r="A75">
        <v>0.44</v>
      </c>
      <c r="B75">
        <v>210</v>
      </c>
    </row>
    <row r="76" spans="1:4" x14ac:dyDescent="0.35">
      <c r="A76">
        <v>0.35</v>
      </c>
      <c r="B76">
        <v>220</v>
      </c>
    </row>
    <row r="77" spans="1:4" x14ac:dyDescent="0.35">
      <c r="A77">
        <v>0.28999999999999998</v>
      </c>
      <c r="B77">
        <v>240</v>
      </c>
    </row>
    <row r="78" spans="1:4" x14ac:dyDescent="0.35">
      <c r="A78">
        <v>0.31</v>
      </c>
      <c r="B78">
        <v>150</v>
      </c>
    </row>
    <row r="79" spans="1:4" x14ac:dyDescent="0.35">
      <c r="A79">
        <v>0.31</v>
      </c>
      <c r="B79">
        <v>195</v>
      </c>
    </row>
    <row r="80" spans="1:4" x14ac:dyDescent="0.35">
      <c r="A80">
        <v>0.42</v>
      </c>
      <c r="B80">
        <v>210</v>
      </c>
    </row>
    <row r="81" spans="1:4" x14ac:dyDescent="0.35">
      <c r="A81">
        <v>0.36</v>
      </c>
      <c r="B81">
        <v>170</v>
      </c>
    </row>
    <row r="82" spans="1:4" x14ac:dyDescent="0.35">
      <c r="A82">
        <v>0.27</v>
      </c>
      <c r="B82">
        <v>195</v>
      </c>
    </row>
    <row r="83" spans="1:4" x14ac:dyDescent="0.35">
      <c r="A83">
        <v>0.3</v>
      </c>
      <c r="B83">
        <v>140</v>
      </c>
    </row>
    <row r="84" spans="1:4" x14ac:dyDescent="0.35">
      <c r="A84">
        <v>0.34</v>
      </c>
      <c r="B84">
        <v>120</v>
      </c>
    </row>
    <row r="85" spans="1:4" x14ac:dyDescent="0.35">
      <c r="A85">
        <v>0.3</v>
      </c>
      <c r="B85">
        <v>150</v>
      </c>
    </row>
    <row r="86" spans="1:4" x14ac:dyDescent="0.35">
      <c r="A86">
        <v>0.28999999999999998</v>
      </c>
      <c r="B86">
        <v>220</v>
      </c>
    </row>
    <row r="87" spans="1:4" x14ac:dyDescent="0.35">
      <c r="A87">
        <v>0.34</v>
      </c>
      <c r="B87">
        <v>230</v>
      </c>
    </row>
    <row r="89" spans="1:4" x14ac:dyDescent="0.35">
      <c r="A89" t="s">
        <v>11</v>
      </c>
    </row>
    <row r="90" spans="1:4" x14ac:dyDescent="0.35">
      <c r="A90" t="s">
        <v>24</v>
      </c>
      <c r="B90" t="s">
        <v>26</v>
      </c>
      <c r="C90" t="s">
        <v>27</v>
      </c>
      <c r="D90">
        <f>CORREL(A91:A109,B91:B109)</f>
        <v>0.40297128966706253</v>
      </c>
    </row>
    <row r="91" spans="1:4" x14ac:dyDescent="0.35">
      <c r="A91">
        <v>0.42</v>
      </c>
      <c r="B91">
        <v>180</v>
      </c>
    </row>
    <row r="92" spans="1:4" x14ac:dyDescent="0.35">
      <c r="A92">
        <v>0.37</v>
      </c>
      <c r="B92">
        <v>170</v>
      </c>
    </row>
    <row r="93" spans="1:4" x14ac:dyDescent="0.35">
      <c r="A93">
        <v>0.32</v>
      </c>
      <c r="B93">
        <v>150</v>
      </c>
    </row>
    <row r="94" spans="1:4" x14ac:dyDescent="0.35">
      <c r="A94">
        <v>0.4</v>
      </c>
      <c r="B94">
        <v>190</v>
      </c>
    </row>
    <row r="95" spans="1:4" x14ac:dyDescent="0.35">
      <c r="A95">
        <v>0.37</v>
      </c>
      <c r="B95">
        <v>210</v>
      </c>
    </row>
    <row r="96" spans="1:4" x14ac:dyDescent="0.35">
      <c r="A96">
        <v>0.33</v>
      </c>
      <c r="B96">
        <v>150</v>
      </c>
    </row>
    <row r="97" spans="1:2" x14ac:dyDescent="0.35">
      <c r="A97">
        <v>0.31</v>
      </c>
      <c r="B97">
        <v>190</v>
      </c>
    </row>
    <row r="98" spans="1:2" x14ac:dyDescent="0.35">
      <c r="A98">
        <v>0.34</v>
      </c>
      <c r="B98">
        <v>185</v>
      </c>
    </row>
    <row r="99" spans="1:2" x14ac:dyDescent="0.35">
      <c r="A99">
        <v>0.37</v>
      </c>
      <c r="B99">
        <v>180</v>
      </c>
    </row>
    <row r="100" spans="1:2" x14ac:dyDescent="0.35">
      <c r="A100">
        <v>0.33</v>
      </c>
      <c r="B100">
        <v>120</v>
      </c>
    </row>
    <row r="101" spans="1:2" x14ac:dyDescent="0.35">
      <c r="A101">
        <v>0.37</v>
      </c>
      <c r="B101">
        <v>205</v>
      </c>
    </row>
    <row r="102" spans="1:2" x14ac:dyDescent="0.35">
      <c r="A102">
        <v>0.3</v>
      </c>
      <c r="B102">
        <v>150</v>
      </c>
    </row>
    <row r="103" spans="1:2" x14ac:dyDescent="0.35">
      <c r="A103">
        <v>0.35</v>
      </c>
      <c r="B103">
        <v>140</v>
      </c>
    </row>
    <row r="104" spans="1:2" x14ac:dyDescent="0.35">
      <c r="A104">
        <v>0.36</v>
      </c>
      <c r="B104">
        <v>150</v>
      </c>
    </row>
    <row r="105" spans="1:2" x14ac:dyDescent="0.35">
      <c r="A105">
        <v>0.32</v>
      </c>
      <c r="B105">
        <v>135</v>
      </c>
    </row>
    <row r="106" spans="1:2" x14ac:dyDescent="0.35">
      <c r="A106">
        <v>0.37</v>
      </c>
      <c r="B106">
        <v>180</v>
      </c>
    </row>
    <row r="107" spans="1:2" x14ac:dyDescent="0.35">
      <c r="A107">
        <v>0.38</v>
      </c>
      <c r="B107">
        <v>130</v>
      </c>
    </row>
    <row r="108" spans="1:2" x14ac:dyDescent="0.35">
      <c r="A108">
        <v>0.36</v>
      </c>
      <c r="B108">
        <v>130</v>
      </c>
    </row>
    <row r="109" spans="1:2" x14ac:dyDescent="0.35">
      <c r="A109">
        <v>0.3</v>
      </c>
      <c r="B109">
        <v>140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1DE7-4715-4DEF-823D-D1CFCB9A3319}">
  <dimension ref="A3:G44"/>
  <sheetViews>
    <sheetView topLeftCell="A27" workbookViewId="0">
      <selection activeCell="B36" sqref="B36"/>
    </sheetView>
  </sheetViews>
  <sheetFormatPr defaultRowHeight="14.5" x14ac:dyDescent="0.35"/>
  <cols>
    <col min="1" max="1" width="12.453125" bestFit="1" customWidth="1"/>
    <col min="2" max="2" width="15.6328125" bestFit="1" customWidth="1"/>
    <col min="3" max="3" width="6.81640625" bestFit="1" customWidth="1"/>
    <col min="4" max="4" width="10.36328125" bestFit="1" customWidth="1"/>
    <col min="5" max="5" width="5.7265625" bestFit="1" customWidth="1"/>
    <col min="6" max="6" width="5" bestFit="1" customWidth="1"/>
    <col min="7" max="7" width="10.36328125" bestFit="1" customWidth="1"/>
  </cols>
  <sheetData>
    <row r="3" spans="1:7" x14ac:dyDescent="0.35">
      <c r="A3" s="2" t="s">
        <v>18</v>
      </c>
      <c r="B3" s="2" t="s">
        <v>17</v>
      </c>
    </row>
    <row r="4" spans="1:7" x14ac:dyDescent="0.35">
      <c r="A4" s="2" t="s">
        <v>13</v>
      </c>
      <c r="B4" t="s">
        <v>12</v>
      </c>
      <c r="C4" t="s">
        <v>10</v>
      </c>
      <c r="D4" t="s">
        <v>6</v>
      </c>
      <c r="E4" t="s">
        <v>8</v>
      </c>
      <c r="F4" t="s">
        <v>11</v>
      </c>
      <c r="G4" t="s">
        <v>14</v>
      </c>
    </row>
    <row r="5" spans="1:7" x14ac:dyDescent="0.35">
      <c r="A5" s="3" t="s">
        <v>15</v>
      </c>
      <c r="B5">
        <v>1865</v>
      </c>
      <c r="C5">
        <v>1570</v>
      </c>
      <c r="D5">
        <v>1820</v>
      </c>
      <c r="E5">
        <v>2145</v>
      </c>
      <c r="F5">
        <v>1725</v>
      </c>
      <c r="G5">
        <v>9125</v>
      </c>
    </row>
    <row r="6" spans="1:7" x14ac:dyDescent="0.35">
      <c r="A6" s="4" t="s">
        <v>19</v>
      </c>
      <c r="B6">
        <v>390</v>
      </c>
      <c r="C6">
        <v>390</v>
      </c>
      <c r="D6">
        <v>480</v>
      </c>
      <c r="E6">
        <v>600</v>
      </c>
      <c r="F6">
        <v>350</v>
      </c>
      <c r="G6">
        <v>2210</v>
      </c>
    </row>
    <row r="7" spans="1:7" x14ac:dyDescent="0.35">
      <c r="A7" s="4" t="s">
        <v>20</v>
      </c>
      <c r="B7">
        <v>580</v>
      </c>
      <c r="C7">
        <v>315</v>
      </c>
      <c r="D7">
        <v>485</v>
      </c>
      <c r="E7">
        <v>330</v>
      </c>
      <c r="F7">
        <v>550</v>
      </c>
      <c r="G7">
        <v>2260</v>
      </c>
    </row>
    <row r="8" spans="1:7" x14ac:dyDescent="0.35">
      <c r="A8" s="4" t="s">
        <v>21</v>
      </c>
      <c r="B8">
        <v>405</v>
      </c>
      <c r="C8">
        <v>380</v>
      </c>
      <c r="D8">
        <v>300</v>
      </c>
      <c r="E8">
        <v>630</v>
      </c>
      <c r="F8">
        <v>525</v>
      </c>
      <c r="G8">
        <v>2240</v>
      </c>
    </row>
    <row r="9" spans="1:7" x14ac:dyDescent="0.35">
      <c r="A9" s="4" t="s">
        <v>22</v>
      </c>
      <c r="B9">
        <v>490</v>
      </c>
      <c r="C9">
        <v>485</v>
      </c>
      <c r="D9">
        <v>555</v>
      </c>
      <c r="E9">
        <v>585</v>
      </c>
      <c r="F9">
        <v>300</v>
      </c>
      <c r="G9">
        <v>2415</v>
      </c>
    </row>
    <row r="10" spans="1:7" x14ac:dyDescent="0.35">
      <c r="A10" s="3" t="s">
        <v>16</v>
      </c>
      <c r="B10">
        <v>1515</v>
      </c>
      <c r="C10">
        <v>1350</v>
      </c>
      <c r="D10">
        <v>1430</v>
      </c>
      <c r="E10">
        <v>1435</v>
      </c>
      <c r="F10">
        <v>1360</v>
      </c>
      <c r="G10">
        <v>7090</v>
      </c>
    </row>
    <row r="11" spans="1:7" x14ac:dyDescent="0.35">
      <c r="A11" s="4" t="s">
        <v>19</v>
      </c>
      <c r="B11">
        <v>455</v>
      </c>
      <c r="C11">
        <v>390</v>
      </c>
      <c r="D11">
        <v>580</v>
      </c>
      <c r="E11">
        <v>380</v>
      </c>
      <c r="F11">
        <v>495</v>
      </c>
      <c r="G11">
        <v>2300</v>
      </c>
    </row>
    <row r="12" spans="1:7" x14ac:dyDescent="0.35">
      <c r="A12" s="4" t="s">
        <v>20</v>
      </c>
      <c r="B12">
        <v>350</v>
      </c>
      <c r="C12">
        <v>420</v>
      </c>
      <c r="D12">
        <v>340</v>
      </c>
      <c r="E12">
        <v>455</v>
      </c>
      <c r="F12">
        <v>465</v>
      </c>
      <c r="G12">
        <v>2030</v>
      </c>
    </row>
    <row r="13" spans="1:7" x14ac:dyDescent="0.35">
      <c r="A13" s="4" t="s">
        <v>21</v>
      </c>
      <c r="B13">
        <v>560</v>
      </c>
      <c r="C13">
        <v>370</v>
      </c>
      <c r="D13">
        <v>510</v>
      </c>
      <c r="E13">
        <v>600</v>
      </c>
      <c r="F13">
        <v>260</v>
      </c>
      <c r="G13">
        <v>2300</v>
      </c>
    </row>
    <row r="14" spans="1:7" x14ac:dyDescent="0.35">
      <c r="A14" s="4" t="s">
        <v>22</v>
      </c>
      <c r="B14">
        <v>150</v>
      </c>
      <c r="C14">
        <v>170</v>
      </c>
      <c r="F14">
        <v>140</v>
      </c>
      <c r="G14">
        <v>460</v>
      </c>
    </row>
    <row r="15" spans="1:7" x14ac:dyDescent="0.35">
      <c r="A15" s="3" t="s">
        <v>14</v>
      </c>
      <c r="B15">
        <v>3380</v>
      </c>
      <c r="C15">
        <v>2920</v>
      </c>
      <c r="D15">
        <v>3250</v>
      </c>
      <c r="E15">
        <v>3580</v>
      </c>
      <c r="F15">
        <v>3085</v>
      </c>
      <c r="G15">
        <v>16215</v>
      </c>
    </row>
    <row r="20" spans="1:4" x14ac:dyDescent="0.35">
      <c r="A20" s="2" t="s">
        <v>18</v>
      </c>
      <c r="B20" s="2" t="s">
        <v>17</v>
      </c>
    </row>
    <row r="21" spans="1:4" x14ac:dyDescent="0.35">
      <c r="A21" s="2" t="s">
        <v>13</v>
      </c>
      <c r="B21" t="s">
        <v>9</v>
      </c>
      <c r="C21" t="s">
        <v>7</v>
      </c>
      <c r="D21" t="s">
        <v>14</v>
      </c>
    </row>
    <row r="22" spans="1:4" x14ac:dyDescent="0.35">
      <c r="A22" s="3" t="s">
        <v>12</v>
      </c>
      <c r="B22">
        <v>1710</v>
      </c>
      <c r="C22">
        <v>1670</v>
      </c>
      <c r="D22">
        <v>3380</v>
      </c>
    </row>
    <row r="23" spans="1:4" x14ac:dyDescent="0.35">
      <c r="A23" s="3" t="s">
        <v>10</v>
      </c>
      <c r="B23">
        <v>1355</v>
      </c>
      <c r="C23">
        <v>1565</v>
      </c>
      <c r="D23">
        <v>2920</v>
      </c>
    </row>
    <row r="24" spans="1:4" x14ac:dyDescent="0.35">
      <c r="A24" s="3" t="s">
        <v>6</v>
      </c>
      <c r="B24">
        <v>1650</v>
      </c>
      <c r="C24">
        <v>1600</v>
      </c>
      <c r="D24">
        <v>3250</v>
      </c>
    </row>
    <row r="25" spans="1:4" x14ac:dyDescent="0.35">
      <c r="A25" s="3" t="s">
        <v>8</v>
      </c>
      <c r="B25">
        <v>1905</v>
      </c>
      <c r="C25">
        <v>1675</v>
      </c>
      <c r="D25">
        <v>3580</v>
      </c>
    </row>
    <row r="26" spans="1:4" x14ac:dyDescent="0.35">
      <c r="A26" s="3" t="s">
        <v>11</v>
      </c>
      <c r="B26">
        <v>1660</v>
      </c>
      <c r="C26">
        <v>1425</v>
      </c>
      <c r="D26">
        <v>3085</v>
      </c>
    </row>
    <row r="27" spans="1:4" x14ac:dyDescent="0.35">
      <c r="A27" s="3" t="s">
        <v>14</v>
      </c>
      <c r="B27">
        <v>8280</v>
      </c>
      <c r="C27">
        <v>7935</v>
      </c>
      <c r="D27">
        <v>16215</v>
      </c>
    </row>
    <row r="32" spans="1:4" x14ac:dyDescent="0.35">
      <c r="A32" s="2" t="s">
        <v>28</v>
      </c>
      <c r="B32" s="2" t="s">
        <v>17</v>
      </c>
    </row>
    <row r="33" spans="1:4" x14ac:dyDescent="0.35">
      <c r="A33" s="2" t="s">
        <v>13</v>
      </c>
      <c r="B33" t="s">
        <v>9</v>
      </c>
      <c r="C33" t="s">
        <v>7</v>
      </c>
      <c r="D33" t="s">
        <v>14</v>
      </c>
    </row>
    <row r="34" spans="1:4" x14ac:dyDescent="0.35">
      <c r="A34" s="3" t="s">
        <v>15</v>
      </c>
    </row>
    <row r="35" spans="1:4" x14ac:dyDescent="0.35">
      <c r="A35" s="4" t="s">
        <v>19</v>
      </c>
      <c r="B35">
        <v>6252</v>
      </c>
      <c r="C35">
        <v>4541.5</v>
      </c>
      <c r="D35">
        <v>10793.5</v>
      </c>
    </row>
    <row r="36" spans="1:4" x14ac:dyDescent="0.35">
      <c r="A36" s="4" t="s">
        <v>20</v>
      </c>
      <c r="B36">
        <v>5736</v>
      </c>
      <c r="C36">
        <v>4778</v>
      </c>
      <c r="D36">
        <v>10514</v>
      </c>
    </row>
    <row r="37" spans="1:4" x14ac:dyDescent="0.35">
      <c r="A37" s="4" t="s">
        <v>21</v>
      </c>
      <c r="B37">
        <v>4507</v>
      </c>
      <c r="C37">
        <v>6487.5</v>
      </c>
      <c r="D37">
        <v>10994.5</v>
      </c>
    </row>
    <row r="38" spans="1:4" x14ac:dyDescent="0.35">
      <c r="A38" s="4" t="s">
        <v>22</v>
      </c>
      <c r="B38">
        <v>6461</v>
      </c>
      <c r="C38">
        <v>5442</v>
      </c>
      <c r="D38">
        <v>11903</v>
      </c>
    </row>
    <row r="39" spans="1:4" x14ac:dyDescent="0.35">
      <c r="A39" s="3" t="s">
        <v>16</v>
      </c>
    </row>
    <row r="40" spans="1:4" x14ac:dyDescent="0.35">
      <c r="A40" s="4" t="s">
        <v>19</v>
      </c>
      <c r="B40">
        <v>6094</v>
      </c>
      <c r="C40">
        <v>4992.5</v>
      </c>
      <c r="D40">
        <v>11086.5</v>
      </c>
    </row>
    <row r="41" spans="1:4" x14ac:dyDescent="0.35">
      <c r="A41" s="4" t="s">
        <v>20</v>
      </c>
      <c r="B41">
        <v>3981.5</v>
      </c>
      <c r="C41">
        <v>5598.5</v>
      </c>
      <c r="D41">
        <v>9580</v>
      </c>
    </row>
    <row r="42" spans="1:4" x14ac:dyDescent="0.35">
      <c r="A42" s="4" t="s">
        <v>21</v>
      </c>
      <c r="B42">
        <v>7241</v>
      </c>
      <c r="C42">
        <v>4760</v>
      </c>
      <c r="D42">
        <v>12001</v>
      </c>
    </row>
    <row r="43" spans="1:4" x14ac:dyDescent="0.35">
      <c r="A43" s="4" t="s">
        <v>22</v>
      </c>
      <c r="B43">
        <v>546</v>
      </c>
      <c r="C43">
        <v>1594</v>
      </c>
      <c r="D43">
        <v>2140</v>
      </c>
    </row>
    <row r="44" spans="1:4" x14ac:dyDescent="0.35">
      <c r="A44" s="3" t="s">
        <v>14</v>
      </c>
      <c r="B44">
        <v>40818.5</v>
      </c>
      <c r="C44">
        <v>38194</v>
      </c>
      <c r="D44">
        <v>79012.5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5AA1-DC15-47CF-BC4E-B910EE2681FC}">
  <dimension ref="A1"/>
  <sheetViews>
    <sheetView showGridLines="0" tabSelected="1" topLeftCell="R26" zoomScale="117" zoomScaleNormal="60" workbookViewId="0">
      <selection activeCell="AA37" sqref="AA37"/>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8DA77-6C38-421F-8255-8DEF7665C8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practice dataset excel practica</vt:lpstr>
      <vt:lpstr>Correlation</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Khaliq</dc:creator>
  <cp:lastModifiedBy>Ralph Adu-Twum</cp:lastModifiedBy>
  <dcterms:created xsi:type="dcterms:W3CDTF">2024-11-05T11:59:27Z</dcterms:created>
  <dcterms:modified xsi:type="dcterms:W3CDTF">2026-03-30T16:31:15Z</dcterms:modified>
</cp:coreProperties>
</file>