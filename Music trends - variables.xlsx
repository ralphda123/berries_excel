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ralph\Documents\Data Analytics Course\Generation\How to create a Portfolio\Submission\Individual Project\"/>
    </mc:Choice>
  </mc:AlternateContent>
  <xr:revisionPtr revIDLastSave="0" documentId="8_{53D80A50-983E-47B4-BA54-A0C4D9290D14}" xr6:coauthVersionLast="47" xr6:coauthVersionMax="47" xr10:uidLastSave="{00000000-0000-0000-0000-000000000000}"/>
  <bookViews>
    <workbookView xWindow="4800" yWindow="3110" windowWidth="14400" windowHeight="8170" xr2:uid="{F80C839E-CD9C-4B4E-A082-9C698C74710D}"/>
  </bookViews>
  <sheets>
    <sheet name="Top_100_most_Streamed_-_Sheet1" sheetId="1" r:id="rId1"/>
    <sheet name="Pivot_Table" sheetId="2" r:id="rId2"/>
    <sheet name="Dashboard" sheetId="3" r:id="rId3"/>
  </sheets>
  <definedNames>
    <definedName name="Connection1" localSheetId="0" hidden="1">'Top_100_most_Streamed_-_Sheet1'!$A$1:$N$101</definedName>
  </definedNames>
  <calcPr calcId="0"/>
  <pivotCaches>
    <pivotCache cacheId="0" r:id="rId4"/>
    <pivotCache cacheId="1" r:id="rId5"/>
    <pivotCache cacheId="2" r:id="rId6"/>
    <pivotCache cacheId="3" r:id="rId7"/>
  </pivotCaches>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00-0000-0000-000000000000}" name="Connection1" type="5" refreshedVersion="3" background="1" saveData="1">
    <dbPr connection="Provider=Microsoft.Mashup.OleDb.1;Data Source=$Workbook$;Location=&quot;Top 100 most Streamed - Sheet1&quot;;Extended Properties=&quot;&quot;" command="SELECT * FROM [Top 100 most Streamed - Sheet1]"/>
  </connection>
</connections>
</file>

<file path=xl/sharedStrings.xml><?xml version="1.0" encoding="utf-8"?>
<sst xmlns="http://schemas.openxmlformats.org/spreadsheetml/2006/main" count="344" uniqueCount="227">
  <si>
    <t>title</t>
  </si>
  <si>
    <t>artist</t>
  </si>
  <si>
    <t>top genre</t>
  </si>
  <si>
    <t>year</t>
  </si>
  <si>
    <t>beats.per.minute</t>
  </si>
  <si>
    <t>energy</t>
  </si>
  <si>
    <t>danceability</t>
  </si>
  <si>
    <t>loudness.dB</t>
  </si>
  <si>
    <t>liveness</t>
  </si>
  <si>
    <t>valance</t>
  </si>
  <si>
    <t>length</t>
  </si>
  <si>
    <t>acousticness</t>
  </si>
  <si>
    <t>speechiness</t>
  </si>
  <si>
    <t>popularity</t>
  </si>
  <si>
    <t>Blinding Lights</t>
  </si>
  <si>
    <t>The Weeknd</t>
  </si>
  <si>
    <t>canadian contemporary r&amp;b</t>
  </si>
  <si>
    <t>Watermelon Sugar</t>
  </si>
  <si>
    <t>Harry Styles</t>
  </si>
  <si>
    <t>pop</t>
  </si>
  <si>
    <t>Mood (feat. iann dior)</t>
  </si>
  <si>
    <t>24kGoldn</t>
  </si>
  <si>
    <t>cali rap</t>
  </si>
  <si>
    <t>Someone You Loved</t>
  </si>
  <si>
    <t>Lewis Capaldi</t>
  </si>
  <si>
    <t>Perfect</t>
  </si>
  <si>
    <t>Ed Sheeran</t>
  </si>
  <si>
    <t>Believer</t>
  </si>
  <si>
    <t>Imagine Dragons</t>
  </si>
  <si>
    <t>modern rock</t>
  </si>
  <si>
    <t>lovely (with Khalid)</t>
  </si>
  <si>
    <t>Billie Eilish</t>
  </si>
  <si>
    <t>electropop</t>
  </si>
  <si>
    <t>Circles</t>
  </si>
  <si>
    <t>Post Malone</t>
  </si>
  <si>
    <t>dfw rap</t>
  </si>
  <si>
    <t>Shape of You</t>
  </si>
  <si>
    <t>Memories</t>
  </si>
  <si>
    <t>Maroon 5</t>
  </si>
  <si>
    <t>Closer</t>
  </si>
  <si>
    <t>The Chainsmokers</t>
  </si>
  <si>
    <t>dance pop</t>
  </si>
  <si>
    <t>bad guy</t>
  </si>
  <si>
    <t>Say You Won't Let Go</t>
  </si>
  <si>
    <t>James Arthur</t>
  </si>
  <si>
    <t>Lucid Dreams</t>
  </si>
  <si>
    <t>Juice WRLD</t>
  </si>
  <si>
    <t>chicago rap</t>
  </si>
  <si>
    <t>All of Me</t>
  </si>
  <si>
    <t>John Legend</t>
  </si>
  <si>
    <t>neo soul</t>
  </si>
  <si>
    <t>7 rings</t>
  </si>
  <si>
    <t>Ariana Grande</t>
  </si>
  <si>
    <t>Jocelyn Flores</t>
  </si>
  <si>
    <t>XXXTENTACION</t>
  </si>
  <si>
    <t>emo rap</t>
  </si>
  <si>
    <t>goosebumps</t>
  </si>
  <si>
    <t>Travis Scott</t>
  </si>
  <si>
    <t>rap</t>
  </si>
  <si>
    <t>Wake Me Up</t>
  </si>
  <si>
    <t>Avicii</t>
  </si>
  <si>
    <t>ROCKSTAR (feat. Roddy Ricch)</t>
  </si>
  <si>
    <t>DaBaby</t>
  </si>
  <si>
    <t>north carolina hip hop</t>
  </si>
  <si>
    <t>rockstar (feat. 21 Savage)</t>
  </si>
  <si>
    <t>Photograph</t>
  </si>
  <si>
    <t>SAD!</t>
  </si>
  <si>
    <t>SICKO MODE</t>
  </si>
  <si>
    <t>Stressed Out</t>
  </si>
  <si>
    <t>Twenty One Pilots</t>
  </si>
  <si>
    <t>Roses - Imanbek Remix</t>
  </si>
  <si>
    <t>SAINt JHN</t>
  </si>
  <si>
    <t>melodic rap</t>
  </si>
  <si>
    <t>The Box</t>
  </si>
  <si>
    <t>Roddy Ricch</t>
  </si>
  <si>
    <t>The Hills</t>
  </si>
  <si>
    <t>Sunflower - Spider-Man: Into the Spider-Verse</t>
  </si>
  <si>
    <t>Thinking out Loud</t>
  </si>
  <si>
    <t>Starboy</t>
  </si>
  <si>
    <t>Love Yourself</t>
  </si>
  <si>
    <t>Justin Bieber</t>
  </si>
  <si>
    <t>canadian pop</t>
  </si>
  <si>
    <t>Something Just Like This</t>
  </si>
  <si>
    <t>Shallow</t>
  </si>
  <si>
    <t>Lady Gaga</t>
  </si>
  <si>
    <t>Thunder</t>
  </si>
  <si>
    <t>XO Tour Llif3</t>
  </si>
  <si>
    <t>Lil Uzi Vert</t>
  </si>
  <si>
    <t>Take Me To Church</t>
  </si>
  <si>
    <t>Hozier</t>
  </si>
  <si>
    <t>irish singer-songwriter</t>
  </si>
  <si>
    <t>Happier</t>
  </si>
  <si>
    <t>Marshmello</t>
  </si>
  <si>
    <t>brostep</t>
  </si>
  <si>
    <t>thank u, next</t>
  </si>
  <si>
    <t>Counting Stars</t>
  </si>
  <si>
    <t>OneRepublic</t>
  </si>
  <si>
    <t>Can't Hold Us - feat. Ray Dalton</t>
  </si>
  <si>
    <t>Macklemore &amp; Ryan Lewis</t>
  </si>
  <si>
    <t>pop rap</t>
  </si>
  <si>
    <t>Señorita</t>
  </si>
  <si>
    <t>Shawn Mendes</t>
  </si>
  <si>
    <t>God's Plan</t>
  </si>
  <si>
    <t>Drake</t>
  </si>
  <si>
    <t>canadian hip hop</t>
  </si>
  <si>
    <t>Don't Start Now</t>
  </si>
  <si>
    <t>Dua Lipa</t>
  </si>
  <si>
    <t>Bohemian Rhapsody - Remastered 2011</t>
  </si>
  <si>
    <t>Queen</t>
  </si>
  <si>
    <t>classic rock</t>
  </si>
  <si>
    <t>HUMBLE.</t>
  </si>
  <si>
    <t>Kendrick Lamar</t>
  </si>
  <si>
    <t>conscious hip hop</t>
  </si>
  <si>
    <t>Let Me Love You</t>
  </si>
  <si>
    <t>DJ Snake</t>
  </si>
  <si>
    <t>Congratulations</t>
  </si>
  <si>
    <t>Stay With Me</t>
  </si>
  <si>
    <t>Sam Smith</t>
  </si>
  <si>
    <t>Treat You Better</t>
  </si>
  <si>
    <t>Uptown Funk (feat. Bruno Mars)</t>
  </si>
  <si>
    <t>Mark Ronson</t>
  </si>
  <si>
    <t>I Like Me Better</t>
  </si>
  <si>
    <t>Lauv</t>
  </si>
  <si>
    <t>when the party's over</t>
  </si>
  <si>
    <t>Mr. Brightside</t>
  </si>
  <si>
    <t>The Killers</t>
  </si>
  <si>
    <t>alternative rock</t>
  </si>
  <si>
    <t>Dance Monkey</t>
  </si>
  <si>
    <t>Tones And I</t>
  </si>
  <si>
    <t>australian pop</t>
  </si>
  <si>
    <t>Havana (feat. Young Thug)</t>
  </si>
  <si>
    <t>Camila Cabello</t>
  </si>
  <si>
    <t>Better Now</t>
  </si>
  <si>
    <t>I Don't Care (with Justin Bieber)</t>
  </si>
  <si>
    <t>Unforgettable</t>
  </si>
  <si>
    <t>French Montana</t>
  </si>
  <si>
    <t>gangster rap</t>
  </si>
  <si>
    <t>Too Good At Goodbyes</t>
  </si>
  <si>
    <t>Riptide</t>
  </si>
  <si>
    <t>Vance Joy</t>
  </si>
  <si>
    <t>folk-pop</t>
  </si>
  <si>
    <t>That's What I Like</t>
  </si>
  <si>
    <t>Bruno Mars</t>
  </si>
  <si>
    <t>See You Again (feat. Charlie Puth)</t>
  </si>
  <si>
    <t>Wiz Khalifa</t>
  </si>
  <si>
    <t>One Kiss (with Dua Lipa)</t>
  </si>
  <si>
    <t>Calvin Harris</t>
  </si>
  <si>
    <t>Heathens</t>
  </si>
  <si>
    <t>Demons</t>
  </si>
  <si>
    <t>Youngblood</t>
  </si>
  <si>
    <t>5 Seconds of Summer</t>
  </si>
  <si>
    <t>boy band</t>
  </si>
  <si>
    <t>Old Town Road - Remix</t>
  </si>
  <si>
    <t>Lil Nas X</t>
  </si>
  <si>
    <t>lgbtq+ hip hop</t>
  </si>
  <si>
    <t>I'm Yours</t>
  </si>
  <si>
    <t>Jason Mraz</t>
  </si>
  <si>
    <t>acoustic pop</t>
  </si>
  <si>
    <t>Attention</t>
  </si>
  <si>
    <t>Charlie Puth</t>
  </si>
  <si>
    <t>New Rules</t>
  </si>
  <si>
    <t>Sorry</t>
  </si>
  <si>
    <t>Don't Let Me Down</t>
  </si>
  <si>
    <t>7 Years</t>
  </si>
  <si>
    <t>Lukas Graham</t>
  </si>
  <si>
    <t>danish pop</t>
  </si>
  <si>
    <t>I Like It</t>
  </si>
  <si>
    <t>Cardi B</t>
  </si>
  <si>
    <t>I Fall Apart</t>
  </si>
  <si>
    <t>We Don't Talk Anymore (feat. Selena Gomez)</t>
  </si>
  <si>
    <t>Can't Feel My Face</t>
  </si>
  <si>
    <t>Despacito</t>
  </si>
  <si>
    <t>Luis Fonsi</t>
  </si>
  <si>
    <t>latin</t>
  </si>
  <si>
    <t>Psycho (feat. Ty Dolla $ign)</t>
  </si>
  <si>
    <t>Stitches</t>
  </si>
  <si>
    <t>What Do You Mean?</t>
  </si>
  <si>
    <t>Wonderwall - Remastered</t>
  </si>
  <si>
    <t>Oasis</t>
  </si>
  <si>
    <t>beatlesque</t>
  </si>
  <si>
    <t>Radioactive</t>
  </si>
  <si>
    <t>Eastside (with Halsey &amp; Khalid)</t>
  </si>
  <si>
    <t>benny blanco</t>
  </si>
  <si>
    <t>Cheerleader - Felix Jaehn Remix Radio Edit</t>
  </si>
  <si>
    <t>OMI</t>
  </si>
  <si>
    <t>Cheap Thrills</t>
  </si>
  <si>
    <t>Sia</t>
  </si>
  <si>
    <t>australian dance</t>
  </si>
  <si>
    <t>Girls Like You (feat. Cardi B) - Cardi B Version</t>
  </si>
  <si>
    <t>Faded</t>
  </si>
  <si>
    <t>Alan Walker</t>
  </si>
  <si>
    <t>electro house</t>
  </si>
  <si>
    <t>Let Her Go</t>
  </si>
  <si>
    <t>Passenger</t>
  </si>
  <si>
    <t>CAN'T STOP THE FEELING! (from DreamWorks Animation's "TROLLS")</t>
  </si>
  <si>
    <t>Justin Timberlake</t>
  </si>
  <si>
    <t>Lean On</t>
  </si>
  <si>
    <t>Major Lazer</t>
  </si>
  <si>
    <t>Despacito - Remix</t>
  </si>
  <si>
    <t>Lose Yourself</t>
  </si>
  <si>
    <t>Eminem</t>
  </si>
  <si>
    <t>detroit hip hop</t>
  </si>
  <si>
    <t>Without Me (with Juice WRLD)</t>
  </si>
  <si>
    <t>Halsey</t>
  </si>
  <si>
    <t>One Dance</t>
  </si>
  <si>
    <t>Sugar</t>
  </si>
  <si>
    <t>Emotions</t>
  </si>
  <si>
    <t>Mark Mendy</t>
  </si>
  <si>
    <t>pop dance</t>
  </si>
  <si>
    <t>Cold Water</t>
  </si>
  <si>
    <t>I Took A Pill In Ibiza - Seeb Remix</t>
  </si>
  <si>
    <t>Mike Posner</t>
  </si>
  <si>
    <t>Row Labels</t>
  </si>
  <si>
    <t>Average of energy</t>
  </si>
  <si>
    <t>Average of danceability</t>
  </si>
  <si>
    <t>Average of liveness</t>
  </si>
  <si>
    <t>Average of valance</t>
  </si>
  <si>
    <t>Average of acousticness</t>
  </si>
  <si>
    <t>Average of speechiness</t>
  </si>
  <si>
    <t>1975-1984</t>
  </si>
  <si>
    <t>1995-2004</t>
  </si>
  <si>
    <t>2005-2014</t>
  </si>
  <si>
    <t>2015-2024</t>
  </si>
  <si>
    <t>Average of beats.per.minute</t>
  </si>
  <si>
    <t>Average of loudness.dB</t>
  </si>
  <si>
    <t>Average of length</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</si>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</sst>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Aptos Narrow"/>
      <family val="2"/>
    </font>
  </fonts>
  <fills count="3">
    <fill>
      <patternFill patternType="none"/>
    </fill>
    <fill>
      <patternFill patternType="gray125"/>
    </fill>
    <fill>
      <patternFill patternType="solid">
        <fgColor rgb="FFF2F2F2"/>
        <bgColor rgb="FFF2F2F2"/>
      </patternFill>
    </fill>
  </fills>
  <borders count="15">
    <border>
      <left/>
      <right/>
      <top/>
      <bottom/>
      <diagonal/>
    </border>
    <border>
      <left style="thin">
        <color rgb="FFABABAB"/>
      </left>
      <right/>
      <top style="thin">
        <color rgb="FFABABAB"/>
      </top>
      <bottom/>
      <diagonal/>
    </border>
    <border>
      <left/>
      <right/>
      <top style="thin">
        <color rgb="FFABABAB"/>
      </top>
      <bottom/>
      <diagonal/>
    </border>
    <border>
      <left/>
      <right style="thin">
        <color rgb="FFABABAB"/>
      </right>
      <top style="thin">
        <color rgb="FFABABAB"/>
      </top>
      <bottom/>
      <diagonal/>
    </border>
    <border>
      <left style="thin">
        <color rgb="FFABABAB"/>
      </left>
      <right/>
      <top style="thin">
        <color rgb="FFFFFFFF"/>
      </top>
      <bottom/>
      <diagonal/>
    </border>
    <border>
      <left/>
      <right/>
      <top style="thin">
        <color rgb="FFFFFFFF"/>
      </top>
      <bottom/>
      <diagonal/>
    </border>
    <border>
      <left/>
      <right style="thin">
        <color rgb="FFABABAB"/>
      </right>
      <top style="thin">
        <color rgb="FFFFFFFF"/>
      </top>
      <bottom/>
      <diagonal/>
    </border>
    <border>
      <left style="thin">
        <color rgb="FFABABAB"/>
      </left>
      <right/>
      <top style="thin">
        <color rgb="FFFFFFFF"/>
      </top>
      <bottom style="thin">
        <color rgb="FFABABAB"/>
      </bottom>
      <diagonal/>
    </border>
    <border>
      <left/>
      <right/>
      <top style="thin">
        <color rgb="FFFFFFFF"/>
      </top>
      <bottom style="thin">
        <color rgb="FFABABAB"/>
      </bottom>
      <diagonal/>
    </border>
    <border>
      <left/>
      <right style="thin">
        <color rgb="FFABABAB"/>
      </right>
      <top style="thin">
        <color rgb="FFFFFFFF"/>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FFFFFF"/>
      </top>
      <bottom/>
      <diagonal/>
    </border>
    <border>
      <left style="thin">
        <color rgb="FFABABAB"/>
      </left>
      <right style="thin">
        <color rgb="FFABABAB"/>
      </right>
      <top style="thin">
        <color rgb="FFFFFFFF"/>
      </top>
      <bottom style="thin">
        <color rgb="FFABABAB"/>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23">
    <xf numFmtId="0" fontId="0" fillId="0" borderId="0" xfId="0"/>
    <xf numFmtId="0" fontId="0" fillId="0" borderId="1" xfId="0" applyBorder="1"/>
    <xf numFmtId="0" fontId="0" fillId="0" borderId="2" xfId="0" applyBorder="1"/>
    <xf numFmtId="0" fontId="0" fillId="0" borderId="3" xfId="0" applyBorder="1"/>
    <xf numFmtId="0" fontId="0" fillId="0" borderId="1" xfId="0" applyBorder="1" applyAlignment="1">
      <alignment horizontal="left"/>
    </xf>
    <xf numFmtId="0" fontId="0" fillId="0" borderId="4" xfId="0" applyBorder="1" applyAlignment="1">
      <alignment horizontal="left"/>
    </xf>
    <xf numFmtId="1" fontId="0" fillId="0" borderId="4" xfId="0" applyNumberFormat="1" applyBorder="1"/>
    <xf numFmtId="1" fontId="0" fillId="0" borderId="5" xfId="0" applyNumberFormat="1" applyBorder="1"/>
    <xf numFmtId="0" fontId="0" fillId="0" borderId="5" xfId="0" applyBorder="1"/>
    <xf numFmtId="1" fontId="0" fillId="0" borderId="6" xfId="0" applyNumberFormat="1" applyBorder="1"/>
    <xf numFmtId="0" fontId="0" fillId="0" borderId="4" xfId="0" applyBorder="1"/>
    <xf numFmtId="0" fontId="0" fillId="0" borderId="7" xfId="0" applyBorder="1" applyAlignment="1">
      <alignment horizontal="left"/>
    </xf>
    <xf numFmtId="1" fontId="0" fillId="0" borderId="7" xfId="0" applyNumberFormat="1" applyBorder="1"/>
    <xf numFmtId="1" fontId="0" fillId="0" borderId="8" xfId="0" applyNumberFormat="1" applyBorder="1"/>
    <xf numFmtId="1" fontId="0" fillId="0" borderId="9" xfId="0" applyNumberFormat="1" applyBorder="1"/>
    <xf numFmtId="0" fontId="0" fillId="0" borderId="10" xfId="0" applyBorder="1"/>
    <xf numFmtId="0" fontId="0" fillId="0" borderId="11" xfId="0" applyBorder="1"/>
    <xf numFmtId="0" fontId="0" fillId="0" borderId="7" xfId="0" applyBorder="1"/>
    <xf numFmtId="1" fontId="0" fillId="0" borderId="12" xfId="0" applyNumberFormat="1" applyBorder="1"/>
    <xf numFmtId="1" fontId="0" fillId="0" borderId="11" xfId="0" applyNumberFormat="1" applyBorder="1"/>
    <xf numFmtId="0" fontId="0" fillId="0" borderId="13" xfId="0" applyBorder="1"/>
    <xf numFmtId="0" fontId="0" fillId="0" borderId="14" xfId="0" applyBorder="1"/>
    <xf numFmtId="0" fontId="0" fillId="2" borderId="0" xfId="0" applyFill="1"/>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1" Type="http://schemas.openxmlformats.org/officeDocument/2006/relationships/oleObject" Target="NULL" TargetMode="External"/></Relationships>
</file>

<file path=xl/charts/_rels/chart2.xml.rels><?xml version="1.0" encoding="UTF-8" standalone="yes"?>
<Relationships xmlns="http://schemas.openxmlformats.org/package/2006/relationships"><Relationship Id="rId1" Type="http://schemas.openxmlformats.org/officeDocument/2006/relationships/oleObject" Target="NULL" TargetMode="External"/></Relationships>
</file>

<file path=xl/charts/_rels/chart3.xml.rels><?xml version="1.0" encoding="UTF-8" standalone="yes"?>
<Relationships xmlns="http://schemas.openxmlformats.org/package/2006/relationships"><Relationship Id="rId1" Type="http://schemas.openxmlformats.org/officeDocument/2006/relationships/oleObject" Target="NULL" TargetMode="External"/></Relationships>
</file>

<file path=xl/charts/_rels/chart4.xml.rels><?xml version="1.0" encoding="UTF-8" standalone="yes"?>
<Relationships xmlns="http://schemas.openxmlformats.org/package/2006/relationships"><Relationship Id="rId1" Type="http://schemas.openxmlformats.org/officeDocument/2006/relationships/oleObject" Target="NULL" TargetMode="Externa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lIns="0" tIns="0" rIns="0" bIns="0"/>
          <a:lstStyle/>
          <a:p>
            <a:pPr marL="0" marR="0" indent="0" algn="ctr" defTabSz="914400" fontAlgn="auto" hangingPunct="1">
              <a:lnSpc>
                <a:spcPct val="100000"/>
              </a:lnSpc>
              <a:spcBef>
                <a:spcPts val="0"/>
              </a:spcBef>
              <a:spcAft>
                <a:spcPts val="0"/>
              </a:spcAft>
              <a:tabLst/>
              <a:defRPr lang="en-GB" sz="1200" b="0" i="0" u="none" strike="noStrike" kern="1200" baseline="0">
                <a:solidFill>
                  <a:srgbClr val="000000"/>
                </a:solidFill>
                <a:latin typeface="Aptos Narrow"/>
              </a:defRPr>
            </a:pPr>
            <a:r>
              <a:rPr lang="en-GB" sz="1200" b="0" i="0" u="none" strike="noStrike" kern="1200" cap="none" spc="0" baseline="0">
                <a:solidFill>
                  <a:srgbClr val="000000"/>
                </a:solidFill>
                <a:uFillTx/>
                <a:latin typeface="Aptos Narrow"/>
              </a:rPr>
              <a:t>Average Value of Music Variables over Time</a:t>
            </a:r>
          </a:p>
        </c:rich>
      </c:tx>
      <c:overlay val="0"/>
      <c:spPr>
        <a:noFill/>
        <a:ln>
          <a:noFill/>
        </a:ln>
      </c:spPr>
    </c:title>
    <c:autoTitleDeleted val="0"/>
    <c:plotArea>
      <c:layout/>
      <c:lineChart>
        <c:grouping val="standard"/>
        <c:varyColors val="0"/>
        <c:ser>
          <c:idx val="0"/>
          <c:order val="0"/>
          <c:tx>
            <c:v>Average of energy</c:v>
          </c:tx>
          <c:spPr>
            <a:ln w="28575" cap="rnd">
              <a:solidFill>
                <a:srgbClr val="156082"/>
              </a:solidFill>
              <a:prstDash val="solid"/>
              <a:round/>
            </a:ln>
          </c:spPr>
          <c:marker>
            <c:symbol val="none"/>
          </c:marker>
          <c:cat>
            <c:strLit>
              <c:ptCount val="4"/>
              <c:pt idx="0">
                <c:v>1975-1984</c:v>
              </c:pt>
              <c:pt idx="1">
                <c:v>1995-2004</c:v>
              </c:pt>
              <c:pt idx="2">
                <c:v>2005-2014</c:v>
              </c:pt>
              <c:pt idx="3">
                <c:v>2015-2024</c:v>
              </c:pt>
            </c:strLit>
          </c:cat>
          <c:val>
            <c:numLit>
              <c:formatCode>General</c:formatCode>
              <c:ptCount val="4"/>
              <c:pt idx="0">
                <c:v>40</c:v>
              </c:pt>
              <c:pt idx="1">
                <c:v>90.5</c:v>
              </c:pt>
              <c:pt idx="2">
                <c:v>61</c:v>
              </c:pt>
              <c:pt idx="3">
                <c:v>62.566265060240966</c:v>
              </c:pt>
            </c:numLit>
          </c:val>
          <c:smooth val="0"/>
          <c:extLst>
            <c:ext xmlns:c16="http://schemas.microsoft.com/office/drawing/2014/chart" uri="{C3380CC4-5D6E-409C-BE32-E72D297353CC}">
              <c16:uniqueId val="{00000000-CDE1-4FAF-8BE3-C53AD557C590}"/>
            </c:ext>
          </c:extLst>
        </c:ser>
        <c:ser>
          <c:idx val="1"/>
          <c:order val="1"/>
          <c:tx>
            <c:v>Average of danceability</c:v>
          </c:tx>
          <c:spPr>
            <a:ln w="28575" cap="rnd">
              <a:solidFill>
                <a:srgbClr val="E97132"/>
              </a:solidFill>
              <a:prstDash val="solid"/>
              <a:round/>
            </a:ln>
          </c:spPr>
          <c:marker>
            <c:symbol val="none"/>
          </c:marker>
          <c:cat>
            <c:strLit>
              <c:ptCount val="4"/>
              <c:pt idx="0">
                <c:v>1975-1984</c:v>
              </c:pt>
              <c:pt idx="1">
                <c:v>1995-2004</c:v>
              </c:pt>
              <c:pt idx="2">
                <c:v>2005-2014</c:v>
              </c:pt>
              <c:pt idx="3">
                <c:v>2015-2024</c:v>
              </c:pt>
            </c:strLit>
          </c:cat>
          <c:val>
            <c:numLit>
              <c:formatCode>General</c:formatCode>
              <c:ptCount val="4"/>
              <c:pt idx="0">
                <c:v>41</c:v>
              </c:pt>
              <c:pt idx="1">
                <c:v>36.5</c:v>
              </c:pt>
              <c:pt idx="2">
                <c:v>56.428571428571431</c:v>
              </c:pt>
              <c:pt idx="3">
                <c:v>69.783132530120483</c:v>
              </c:pt>
            </c:numLit>
          </c:val>
          <c:smooth val="0"/>
          <c:extLst>
            <c:ext xmlns:c16="http://schemas.microsoft.com/office/drawing/2014/chart" uri="{C3380CC4-5D6E-409C-BE32-E72D297353CC}">
              <c16:uniqueId val="{00000001-CDE1-4FAF-8BE3-C53AD557C590}"/>
            </c:ext>
          </c:extLst>
        </c:ser>
        <c:ser>
          <c:idx val="2"/>
          <c:order val="2"/>
          <c:tx>
            <c:v>Average of liveness</c:v>
          </c:tx>
          <c:spPr>
            <a:ln w="28575" cap="rnd">
              <a:solidFill>
                <a:srgbClr val="196B24"/>
              </a:solidFill>
              <a:prstDash val="solid"/>
              <a:round/>
            </a:ln>
          </c:spPr>
          <c:marker>
            <c:symbol val="none"/>
          </c:marker>
          <c:cat>
            <c:strLit>
              <c:ptCount val="4"/>
              <c:pt idx="0">
                <c:v>1975-1984</c:v>
              </c:pt>
              <c:pt idx="1">
                <c:v>1995-2004</c:v>
              </c:pt>
              <c:pt idx="2">
                <c:v>2005-2014</c:v>
              </c:pt>
              <c:pt idx="3">
                <c:v>2015-2024</c:v>
              </c:pt>
            </c:strLit>
          </c:cat>
          <c:val>
            <c:numLit>
              <c:formatCode>General</c:formatCode>
              <c:ptCount val="4"/>
              <c:pt idx="0">
                <c:v>30</c:v>
              </c:pt>
              <c:pt idx="1">
                <c:v>14.5</c:v>
              </c:pt>
              <c:pt idx="2">
                <c:v>19.214285714285715</c:v>
              </c:pt>
              <c:pt idx="3">
                <c:v>16.361445783132531</c:v>
              </c:pt>
            </c:numLit>
          </c:val>
          <c:smooth val="0"/>
          <c:extLst>
            <c:ext xmlns:c16="http://schemas.microsoft.com/office/drawing/2014/chart" uri="{C3380CC4-5D6E-409C-BE32-E72D297353CC}">
              <c16:uniqueId val="{00000002-CDE1-4FAF-8BE3-C53AD557C590}"/>
            </c:ext>
          </c:extLst>
        </c:ser>
        <c:ser>
          <c:idx val="3"/>
          <c:order val="3"/>
          <c:tx>
            <c:v>Average of valance</c:v>
          </c:tx>
          <c:spPr>
            <a:ln w="28575" cap="rnd">
              <a:solidFill>
                <a:srgbClr val="0F9ED5"/>
              </a:solidFill>
              <a:prstDash val="solid"/>
              <a:round/>
            </a:ln>
          </c:spPr>
          <c:marker>
            <c:symbol val="none"/>
          </c:marker>
          <c:cat>
            <c:strLit>
              <c:ptCount val="4"/>
              <c:pt idx="0">
                <c:v>1975-1984</c:v>
              </c:pt>
              <c:pt idx="1">
                <c:v>1995-2004</c:v>
              </c:pt>
              <c:pt idx="2">
                <c:v>2005-2014</c:v>
              </c:pt>
              <c:pt idx="3">
                <c:v>2015-2024</c:v>
              </c:pt>
            </c:strLit>
          </c:cat>
          <c:val>
            <c:numLit>
              <c:formatCode>General</c:formatCode>
              <c:ptCount val="4"/>
              <c:pt idx="0">
                <c:v>22</c:v>
              </c:pt>
              <c:pt idx="1">
                <c:v>35.5</c:v>
              </c:pt>
              <c:pt idx="2">
                <c:v>42.071428571428569</c:v>
              </c:pt>
              <c:pt idx="3">
                <c:v>51.987951807228917</c:v>
              </c:pt>
            </c:numLit>
          </c:val>
          <c:smooth val="0"/>
          <c:extLst>
            <c:ext xmlns:c16="http://schemas.microsoft.com/office/drawing/2014/chart" uri="{C3380CC4-5D6E-409C-BE32-E72D297353CC}">
              <c16:uniqueId val="{00000003-CDE1-4FAF-8BE3-C53AD557C590}"/>
            </c:ext>
          </c:extLst>
        </c:ser>
        <c:ser>
          <c:idx val="4"/>
          <c:order val="4"/>
          <c:tx>
            <c:v>Average of acousticness</c:v>
          </c:tx>
          <c:spPr>
            <a:ln w="28575" cap="rnd">
              <a:solidFill>
                <a:srgbClr val="A02B93"/>
              </a:solidFill>
              <a:prstDash val="solid"/>
              <a:round/>
            </a:ln>
          </c:spPr>
          <c:marker>
            <c:symbol val="none"/>
          </c:marker>
          <c:cat>
            <c:strLit>
              <c:ptCount val="4"/>
              <c:pt idx="0">
                <c:v>1975-1984</c:v>
              </c:pt>
              <c:pt idx="1">
                <c:v>1995-2004</c:v>
              </c:pt>
              <c:pt idx="2">
                <c:v>2005-2014</c:v>
              </c:pt>
              <c:pt idx="3">
                <c:v>2015-2024</c:v>
              </c:pt>
            </c:strLit>
          </c:cat>
          <c:val>
            <c:numLit>
              <c:formatCode>General</c:formatCode>
              <c:ptCount val="4"/>
              <c:pt idx="0">
                <c:v>27</c:v>
              </c:pt>
              <c:pt idx="1">
                <c:v>0</c:v>
              </c:pt>
              <c:pt idx="2">
                <c:v>35.857142857142854</c:v>
              </c:pt>
              <c:pt idx="3">
                <c:v>23.686746987951807</c:v>
              </c:pt>
            </c:numLit>
          </c:val>
          <c:smooth val="0"/>
          <c:extLst>
            <c:ext xmlns:c16="http://schemas.microsoft.com/office/drawing/2014/chart" uri="{C3380CC4-5D6E-409C-BE32-E72D297353CC}">
              <c16:uniqueId val="{00000004-CDE1-4FAF-8BE3-C53AD557C590}"/>
            </c:ext>
          </c:extLst>
        </c:ser>
        <c:ser>
          <c:idx val="5"/>
          <c:order val="5"/>
          <c:tx>
            <c:v>Average of speechiness</c:v>
          </c:tx>
          <c:spPr>
            <a:ln w="28575" cap="rnd">
              <a:solidFill>
                <a:srgbClr val="4EA72E"/>
              </a:solidFill>
              <a:prstDash val="solid"/>
              <a:round/>
            </a:ln>
          </c:spPr>
          <c:marker>
            <c:symbol val="none"/>
          </c:marker>
          <c:cat>
            <c:strLit>
              <c:ptCount val="4"/>
              <c:pt idx="0">
                <c:v>1975-1984</c:v>
              </c:pt>
              <c:pt idx="1">
                <c:v>1995-2004</c:v>
              </c:pt>
              <c:pt idx="2">
                <c:v>2005-2014</c:v>
              </c:pt>
              <c:pt idx="3">
                <c:v>2015-2024</c:v>
              </c:pt>
            </c:strLit>
          </c:cat>
          <c:val>
            <c:numLit>
              <c:formatCode>General</c:formatCode>
              <c:ptCount val="4"/>
              <c:pt idx="0">
                <c:v>5</c:v>
              </c:pt>
              <c:pt idx="1">
                <c:v>5.5</c:v>
              </c:pt>
              <c:pt idx="2">
                <c:v>6.3571428571428568</c:v>
              </c:pt>
              <c:pt idx="3">
                <c:v>10.698795180722891</c:v>
              </c:pt>
            </c:numLit>
          </c:val>
          <c:smooth val="0"/>
          <c:extLst>
            <c:ext xmlns:c16="http://schemas.microsoft.com/office/drawing/2014/chart" uri="{C3380CC4-5D6E-409C-BE32-E72D297353CC}">
              <c16:uniqueId val="{00000005-CDE1-4FAF-8BE3-C53AD557C590}"/>
            </c:ext>
          </c:extLst>
        </c:ser>
        <c:dLbls>
          <c:showLegendKey val="0"/>
          <c:showVal val="0"/>
          <c:showCatName val="0"/>
          <c:showSerName val="0"/>
          <c:showPercent val="0"/>
          <c:showBubbleSize val="0"/>
        </c:dLbls>
        <c:smooth val="0"/>
        <c:axId val="1683877967"/>
        <c:axId val="1683885167"/>
      </c:lineChart>
      <c:valAx>
        <c:axId val="1683885167"/>
        <c:scaling>
          <c:orientation val="minMax"/>
        </c:scaling>
        <c:delete val="0"/>
        <c:axPos val="l"/>
        <c:majorGridlines>
          <c:spPr>
            <a:ln w="9528" cap="flat">
              <a:solidFill>
                <a:srgbClr val="000000"/>
              </a:solidFill>
              <a:custDash>
                <a:ds d="100000" sp="100000"/>
              </a:custDash>
              <a:round/>
            </a:ln>
          </c:spPr>
        </c:majorGridlines>
        <c:title>
          <c:tx>
            <c:rich>
              <a:bodyPr lIns="0" tIns="0" rIns="0" bIns="0"/>
              <a:lstStyle/>
              <a:p>
                <a:pPr marL="0" marR="0" indent="0" algn="ctr"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r>
                  <a:rPr lang="en-GB" sz="1000" b="0" i="0" u="none" strike="noStrike" kern="1200" cap="none" spc="0" baseline="0">
                    <a:solidFill>
                      <a:srgbClr val="000000"/>
                    </a:solidFill>
                    <a:uFillTx/>
                    <a:latin typeface="Aptos Narrow"/>
                  </a:rPr>
                  <a:t>Average Value of the Music Variables</a:t>
                </a:r>
              </a:p>
            </c:rich>
          </c:tx>
          <c:overlay val="0"/>
          <c:spPr>
            <a:noFill/>
            <a:ln>
              <a:noFill/>
            </a:ln>
          </c:spPr>
        </c:title>
        <c:numFmt formatCode="General" sourceLinked="0"/>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endParaRPr lang="en-US"/>
          </a:p>
        </c:txPr>
        <c:crossAx val="1683877967"/>
        <c:crosses val="autoZero"/>
        <c:crossBetween val="between"/>
      </c:valAx>
      <c:catAx>
        <c:axId val="1683877967"/>
        <c:scaling>
          <c:orientation val="minMax"/>
        </c:scaling>
        <c:delete val="0"/>
        <c:axPos val="b"/>
        <c:title>
          <c:tx>
            <c:rich>
              <a:bodyPr lIns="0" tIns="0" rIns="0" bIns="0"/>
              <a:lstStyle/>
              <a:p>
                <a:pPr marL="0" marR="0" indent="0" algn="ctr"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r>
                  <a:rPr lang="en-GB" sz="1000" b="0" i="0" u="none" strike="noStrike" kern="1200" cap="none" spc="0" baseline="0">
                    <a:solidFill>
                      <a:srgbClr val="000000"/>
                    </a:solidFill>
                    <a:uFillTx/>
                    <a:latin typeface="Aptos Narrow"/>
                  </a:rPr>
                  <a:t>Year</a:t>
                </a:r>
              </a:p>
            </c:rich>
          </c:tx>
          <c:overlay val="0"/>
          <c:spPr>
            <a:noFill/>
            <a:ln>
              <a:noFill/>
            </a:ln>
          </c:spPr>
        </c:title>
        <c:numFmt formatCode="General" sourceLinked="0"/>
        <c:majorTickMark val="none"/>
        <c:minorTickMark val="none"/>
        <c:tickLblPos val="nextTo"/>
        <c:spPr>
          <a:no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endParaRPr lang="en-US"/>
          </a:p>
        </c:txPr>
        <c:crossAx val="1683885167"/>
        <c:crosses val="autoZero"/>
        <c:auto val="1"/>
        <c:lblAlgn val="ctr"/>
        <c:lblOffset val="100"/>
        <c:noMultiLvlLbl val="0"/>
      </c:catAx>
      <c:spPr>
        <a:noFill/>
        <a:ln>
          <a:noFill/>
        </a:ln>
      </c:spPr>
    </c:plotArea>
    <c:legend>
      <c:legendPos val="r"/>
      <c:overlay val="0"/>
      <c:spPr>
        <a:noFill/>
        <a:ln>
          <a:noFill/>
        </a:ln>
      </c:spPr>
      <c:txPr>
        <a:bodyPr lIns="0" tIns="0" rIns="0" bIns="0"/>
        <a:lstStyle/>
        <a:p>
          <a:pPr marL="0" marR="0" indent="0"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endParaRPr lang="en-US"/>
        </a:p>
      </c:txPr>
    </c:legend>
    <c:plotVisOnly val="1"/>
    <c:dispBlanksAs val="gap"/>
    <c:showDLblsOverMax val="0"/>
  </c:chart>
  <c:spPr>
    <a:noFill/>
    <a:ln>
      <a:noFill/>
    </a:ln>
  </c:spPr>
  <c:txPr>
    <a:bodyPr lIns="0" tIns="0" rIns="0" bIns="0"/>
    <a:lstStyle/>
    <a:p>
      <a:pPr marL="0" marR="0" indent="0"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endParaRPr lang="en-US"/>
    </a:p>
  </c:txPr>
  <c:externalData r:id="rId1">
    <c:autoUpdate val="0"/>
  </c:externalData>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lIns="0" tIns="0" rIns="0" bIns="0"/>
          <a:lstStyle/>
          <a:p>
            <a:pPr marL="0" marR="0" indent="0" algn="ctr" defTabSz="914400" fontAlgn="auto" hangingPunct="1">
              <a:lnSpc>
                <a:spcPct val="100000"/>
              </a:lnSpc>
              <a:spcBef>
                <a:spcPts val="0"/>
              </a:spcBef>
              <a:spcAft>
                <a:spcPts val="0"/>
              </a:spcAft>
              <a:tabLst/>
              <a:defRPr lang="en-GB" sz="1200" b="0" i="0" u="none" strike="noStrike" kern="1200" baseline="0">
                <a:solidFill>
                  <a:srgbClr val="000000"/>
                </a:solidFill>
                <a:latin typeface="Aptos Narrow"/>
              </a:defRPr>
            </a:pPr>
            <a:r>
              <a:rPr lang="en-GB" sz="1200" b="0" i="0" u="none" strike="noStrike" kern="1200" cap="none" spc="0" baseline="0">
                <a:solidFill>
                  <a:srgbClr val="000000"/>
                </a:solidFill>
                <a:uFillTx/>
                <a:latin typeface="Aptos Narrow"/>
              </a:rPr>
              <a:t>Average Beats per Minute of Songs over Time</a:t>
            </a:r>
          </a:p>
        </c:rich>
      </c:tx>
      <c:overlay val="0"/>
      <c:spPr>
        <a:noFill/>
        <a:ln>
          <a:noFill/>
        </a:ln>
      </c:spPr>
    </c:title>
    <c:autoTitleDeleted val="0"/>
    <c:plotArea>
      <c:layout/>
      <c:lineChart>
        <c:grouping val="standard"/>
        <c:varyColors val="0"/>
        <c:ser>
          <c:idx val="0"/>
          <c:order val="0"/>
          <c:tx>
            <c:v>Total</c:v>
          </c:tx>
          <c:spPr>
            <a:ln w="28575" cap="rnd">
              <a:solidFill>
                <a:srgbClr val="156082"/>
              </a:solidFill>
              <a:prstDash val="solid"/>
              <a:round/>
            </a:ln>
          </c:spPr>
          <c:marker>
            <c:symbol val="none"/>
          </c:marker>
          <c:cat>
            <c:strLit>
              <c:ptCount val="4"/>
              <c:pt idx="0">
                <c:v>1975-1984</c:v>
              </c:pt>
              <c:pt idx="1">
                <c:v>1995-2004</c:v>
              </c:pt>
              <c:pt idx="2">
                <c:v>2005-2014</c:v>
              </c:pt>
              <c:pt idx="3">
                <c:v>2015-2024</c:v>
              </c:pt>
            </c:strLit>
          </c:cat>
          <c:val>
            <c:numLit>
              <c:formatCode>General</c:formatCode>
              <c:ptCount val="4"/>
              <c:pt idx="0">
                <c:v>71</c:v>
              </c:pt>
              <c:pt idx="1">
                <c:v>161</c:v>
              </c:pt>
              <c:pt idx="2">
                <c:v>117</c:v>
              </c:pt>
              <c:pt idx="3">
                <c:v>116.4578313253012</c:v>
              </c:pt>
            </c:numLit>
          </c:val>
          <c:smooth val="0"/>
          <c:extLst>
            <c:ext xmlns:c16="http://schemas.microsoft.com/office/drawing/2014/chart" uri="{C3380CC4-5D6E-409C-BE32-E72D297353CC}">
              <c16:uniqueId val="{00000000-8CE3-4E4B-8CEA-567000544CEE}"/>
            </c:ext>
          </c:extLst>
        </c:ser>
        <c:dLbls>
          <c:showLegendKey val="0"/>
          <c:showVal val="0"/>
          <c:showCatName val="0"/>
          <c:showSerName val="0"/>
          <c:showPercent val="0"/>
          <c:showBubbleSize val="0"/>
        </c:dLbls>
        <c:smooth val="0"/>
        <c:axId val="1683881327"/>
        <c:axId val="1683870287"/>
      </c:lineChart>
      <c:valAx>
        <c:axId val="1683870287"/>
        <c:scaling>
          <c:orientation val="minMax"/>
        </c:scaling>
        <c:delete val="0"/>
        <c:axPos val="l"/>
        <c:majorGridlines>
          <c:spPr>
            <a:ln w="9528" cap="flat">
              <a:solidFill>
                <a:srgbClr val="000000"/>
              </a:solidFill>
              <a:custDash>
                <a:ds d="100000" sp="100000"/>
              </a:custDash>
              <a:round/>
            </a:ln>
          </c:spPr>
        </c:majorGridlines>
        <c:title>
          <c:tx>
            <c:rich>
              <a:bodyPr lIns="0" tIns="0" rIns="0" bIns="0"/>
              <a:lstStyle/>
              <a:p>
                <a:pPr marL="0" marR="0" indent="0" algn="ctr"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r>
                  <a:rPr lang="en-GB" sz="1000" b="0" i="0" u="none" strike="noStrike" kern="1200" cap="none" spc="0" baseline="0">
                    <a:solidFill>
                      <a:srgbClr val="000000"/>
                    </a:solidFill>
                    <a:uFillTx/>
                    <a:latin typeface="Aptos Narrow"/>
                  </a:rPr>
                  <a:t>Average bpm</a:t>
                </a:r>
              </a:p>
            </c:rich>
          </c:tx>
          <c:overlay val="0"/>
          <c:spPr>
            <a:noFill/>
            <a:ln>
              <a:noFill/>
            </a:ln>
          </c:spPr>
        </c:title>
        <c:numFmt formatCode="General" sourceLinked="0"/>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endParaRPr lang="en-US"/>
          </a:p>
        </c:txPr>
        <c:crossAx val="1683881327"/>
        <c:crosses val="autoZero"/>
        <c:crossBetween val="between"/>
      </c:valAx>
      <c:catAx>
        <c:axId val="1683881327"/>
        <c:scaling>
          <c:orientation val="minMax"/>
        </c:scaling>
        <c:delete val="0"/>
        <c:axPos val="b"/>
        <c:title>
          <c:tx>
            <c:rich>
              <a:bodyPr lIns="0" tIns="0" rIns="0" bIns="0"/>
              <a:lstStyle/>
              <a:p>
                <a:pPr marL="0" marR="0" indent="0" algn="ctr"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r>
                  <a:rPr lang="en-GB" sz="1000" b="0" i="0" u="none" strike="noStrike" kern="1200" cap="none" spc="0" baseline="0">
                    <a:solidFill>
                      <a:srgbClr val="000000"/>
                    </a:solidFill>
                    <a:uFillTx/>
                    <a:latin typeface="Aptos Narrow"/>
                  </a:rPr>
                  <a:t>Year</a:t>
                </a:r>
              </a:p>
            </c:rich>
          </c:tx>
          <c:overlay val="0"/>
          <c:spPr>
            <a:noFill/>
            <a:ln>
              <a:noFill/>
            </a:ln>
          </c:spPr>
        </c:title>
        <c:numFmt formatCode="General" sourceLinked="0"/>
        <c:majorTickMark val="none"/>
        <c:minorTickMark val="none"/>
        <c:tickLblPos val="nextTo"/>
        <c:spPr>
          <a:no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endParaRPr lang="en-US"/>
          </a:p>
        </c:txPr>
        <c:crossAx val="1683870287"/>
        <c:crosses val="autoZero"/>
        <c:auto val="1"/>
        <c:lblAlgn val="ctr"/>
        <c:lblOffset val="100"/>
        <c:noMultiLvlLbl val="0"/>
      </c:catAx>
      <c:spPr>
        <a:noFill/>
        <a:ln>
          <a:noFill/>
        </a:ln>
      </c:spPr>
    </c:plotArea>
    <c:plotVisOnly val="1"/>
    <c:dispBlanksAs val="gap"/>
    <c:showDLblsOverMax val="0"/>
  </c:chart>
  <c:spPr>
    <a:noFill/>
    <a:ln>
      <a:noFill/>
    </a:ln>
  </c:spPr>
  <c:txPr>
    <a:bodyPr lIns="0" tIns="0" rIns="0" bIns="0"/>
    <a:lstStyle/>
    <a:p>
      <a:pPr marL="0" marR="0" indent="0"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endParaRPr lang="en-US"/>
    </a:p>
  </c:txPr>
  <c:externalData r:id="rId1">
    <c:autoUpdate val="0"/>
  </c:externalData>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lIns="0" tIns="0" rIns="0" bIns="0"/>
          <a:lstStyle/>
          <a:p>
            <a:pPr marL="0" marR="0" indent="0" algn="ctr" defTabSz="914400" fontAlgn="auto" hangingPunct="1">
              <a:lnSpc>
                <a:spcPct val="100000"/>
              </a:lnSpc>
              <a:spcBef>
                <a:spcPts val="0"/>
              </a:spcBef>
              <a:spcAft>
                <a:spcPts val="0"/>
              </a:spcAft>
              <a:tabLst/>
              <a:defRPr lang="en-GB" sz="1200" b="0" i="0" u="none" strike="noStrike" kern="1200" baseline="0">
                <a:solidFill>
                  <a:srgbClr val="000000"/>
                </a:solidFill>
                <a:latin typeface="Aptos Narrow"/>
              </a:defRPr>
            </a:pPr>
            <a:r>
              <a:rPr lang="en-GB" sz="1200" b="0" i="0" u="none" strike="noStrike" kern="1200" cap="none" spc="0" baseline="0">
                <a:solidFill>
                  <a:srgbClr val="000000"/>
                </a:solidFill>
                <a:uFillTx/>
                <a:latin typeface="Aptos Narrow"/>
              </a:rPr>
              <a:t>Loudness of Songs over Time</a:t>
            </a:r>
          </a:p>
        </c:rich>
      </c:tx>
      <c:overlay val="0"/>
      <c:spPr>
        <a:noFill/>
        <a:ln>
          <a:noFill/>
        </a:ln>
      </c:spPr>
    </c:title>
    <c:autoTitleDeleted val="0"/>
    <c:plotArea>
      <c:layout/>
      <c:lineChart>
        <c:grouping val="standard"/>
        <c:varyColors val="0"/>
        <c:ser>
          <c:idx val="0"/>
          <c:order val="0"/>
          <c:tx>
            <c:v>Total</c:v>
          </c:tx>
          <c:spPr>
            <a:ln w="28575" cap="rnd">
              <a:solidFill>
                <a:srgbClr val="156082"/>
              </a:solidFill>
              <a:prstDash val="solid"/>
              <a:round/>
            </a:ln>
          </c:spPr>
          <c:marker>
            <c:symbol val="none"/>
          </c:marker>
          <c:cat>
            <c:strLit>
              <c:ptCount val="4"/>
              <c:pt idx="0">
                <c:v>1975-1984</c:v>
              </c:pt>
              <c:pt idx="1">
                <c:v>1995-2004</c:v>
              </c:pt>
              <c:pt idx="2">
                <c:v>2005-2014</c:v>
              </c:pt>
              <c:pt idx="3">
                <c:v>2015-2024</c:v>
              </c:pt>
            </c:strLit>
          </c:cat>
          <c:val>
            <c:numLit>
              <c:formatCode>General</c:formatCode>
              <c:ptCount val="4"/>
              <c:pt idx="0">
                <c:v>-10</c:v>
              </c:pt>
              <c:pt idx="1">
                <c:v>-4.5</c:v>
              </c:pt>
              <c:pt idx="2">
                <c:v>-5.9285714285714288</c:v>
              </c:pt>
              <c:pt idx="3">
                <c:v>-6.1204819277108431</c:v>
              </c:pt>
            </c:numLit>
          </c:val>
          <c:smooth val="0"/>
          <c:extLst>
            <c:ext xmlns:c16="http://schemas.microsoft.com/office/drawing/2014/chart" uri="{C3380CC4-5D6E-409C-BE32-E72D297353CC}">
              <c16:uniqueId val="{00000000-A438-46F6-8074-8748D576256C}"/>
            </c:ext>
          </c:extLst>
        </c:ser>
        <c:dLbls>
          <c:showLegendKey val="0"/>
          <c:showVal val="0"/>
          <c:showCatName val="0"/>
          <c:showSerName val="0"/>
          <c:showPercent val="0"/>
          <c:showBubbleSize val="0"/>
        </c:dLbls>
        <c:smooth val="0"/>
        <c:axId val="1683875087"/>
        <c:axId val="1683884207"/>
      </c:lineChart>
      <c:valAx>
        <c:axId val="1683884207"/>
        <c:scaling>
          <c:orientation val="minMax"/>
        </c:scaling>
        <c:delete val="0"/>
        <c:axPos val="l"/>
        <c:majorGridlines>
          <c:spPr>
            <a:ln w="9528" cap="flat">
              <a:solidFill>
                <a:srgbClr val="000000"/>
              </a:solidFill>
              <a:custDash>
                <a:ds d="300000" sp="300000"/>
              </a:custDash>
              <a:round/>
            </a:ln>
          </c:spPr>
        </c:majorGridlines>
        <c:title>
          <c:tx>
            <c:rich>
              <a:bodyPr lIns="0" tIns="0" rIns="0" bIns="0"/>
              <a:lstStyle/>
              <a:p>
                <a:pPr marL="0" marR="0" indent="0" algn="ctr"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r>
                  <a:rPr lang="en-GB" sz="1000" b="0" i="0" u="none" strike="noStrike" kern="1200" cap="none" spc="0" baseline="0">
                    <a:solidFill>
                      <a:srgbClr val="000000"/>
                    </a:solidFill>
                    <a:uFillTx/>
                    <a:latin typeface="Aptos Narrow"/>
                  </a:rPr>
                  <a:t>Loudness (.dB)</a:t>
                </a:r>
              </a:p>
            </c:rich>
          </c:tx>
          <c:overlay val="0"/>
          <c:spPr>
            <a:noFill/>
            <a:ln>
              <a:noFill/>
            </a:ln>
          </c:spPr>
        </c:title>
        <c:numFmt formatCode="General" sourceLinked="0"/>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endParaRPr lang="en-US"/>
          </a:p>
        </c:txPr>
        <c:crossAx val="1683875087"/>
        <c:crosses val="autoZero"/>
        <c:crossBetween val="between"/>
      </c:valAx>
      <c:catAx>
        <c:axId val="1683875087"/>
        <c:scaling>
          <c:orientation val="minMax"/>
        </c:scaling>
        <c:delete val="0"/>
        <c:axPos val="b"/>
        <c:title>
          <c:tx>
            <c:rich>
              <a:bodyPr lIns="0" tIns="0" rIns="0" bIns="0"/>
              <a:lstStyle/>
              <a:p>
                <a:pPr marL="0" marR="0" indent="0" algn="ctr"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r>
                  <a:rPr lang="en-GB" sz="1000" b="0" i="0" u="none" strike="noStrike" kern="1200" cap="none" spc="0" baseline="0">
                    <a:solidFill>
                      <a:srgbClr val="000000"/>
                    </a:solidFill>
                    <a:uFillTx/>
                    <a:latin typeface="Aptos Narrow"/>
                  </a:rPr>
                  <a:t>Year</a:t>
                </a:r>
              </a:p>
            </c:rich>
          </c:tx>
          <c:overlay val="0"/>
          <c:spPr>
            <a:noFill/>
            <a:ln>
              <a:noFill/>
            </a:ln>
          </c:spPr>
        </c:title>
        <c:numFmt formatCode="General" sourceLinked="0"/>
        <c:majorTickMark val="none"/>
        <c:minorTickMark val="none"/>
        <c:tickLblPos val="nextTo"/>
        <c:spPr>
          <a:no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endParaRPr lang="en-US"/>
          </a:p>
        </c:txPr>
        <c:crossAx val="1683884207"/>
        <c:crosses val="autoZero"/>
        <c:auto val="1"/>
        <c:lblAlgn val="ctr"/>
        <c:lblOffset val="100"/>
        <c:noMultiLvlLbl val="0"/>
      </c:catAx>
      <c:spPr>
        <a:noFill/>
        <a:ln>
          <a:noFill/>
        </a:ln>
      </c:spPr>
    </c:plotArea>
    <c:plotVisOnly val="1"/>
    <c:dispBlanksAs val="gap"/>
    <c:showDLblsOverMax val="0"/>
  </c:chart>
  <c:spPr>
    <a:noFill/>
    <a:ln>
      <a:noFill/>
    </a:ln>
  </c:spPr>
  <c:txPr>
    <a:bodyPr lIns="0" tIns="0" rIns="0" bIns="0"/>
    <a:lstStyle/>
    <a:p>
      <a:pPr marL="0" marR="0" indent="0"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endParaRPr lang="en-US"/>
    </a:p>
  </c:txPr>
  <c:externalData r:id="rId1">
    <c:autoUpdate val="0"/>
  </c:externalData>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lIns="0" tIns="0" rIns="0" bIns="0"/>
          <a:lstStyle/>
          <a:p>
            <a:pPr marL="0" marR="0" indent="0" algn="ctr" defTabSz="914400" fontAlgn="auto" hangingPunct="1">
              <a:lnSpc>
                <a:spcPct val="100000"/>
              </a:lnSpc>
              <a:spcBef>
                <a:spcPts val="0"/>
              </a:spcBef>
              <a:spcAft>
                <a:spcPts val="0"/>
              </a:spcAft>
              <a:tabLst/>
              <a:defRPr lang="en-GB" sz="1200" b="0" i="0" u="none" strike="noStrike" kern="1200" baseline="0">
                <a:solidFill>
                  <a:srgbClr val="000000"/>
                </a:solidFill>
                <a:latin typeface="Aptos Narrow"/>
              </a:defRPr>
            </a:pPr>
            <a:r>
              <a:rPr lang="en-GB" sz="1200" b="0" i="0" u="none" strike="noStrike" kern="1200" cap="none" spc="0" baseline="0">
                <a:solidFill>
                  <a:srgbClr val="000000"/>
                </a:solidFill>
                <a:uFillTx/>
                <a:latin typeface="Aptos Narrow"/>
              </a:rPr>
              <a:t>Average Duration of Songs over Time</a:t>
            </a:r>
          </a:p>
        </c:rich>
      </c:tx>
      <c:overlay val="0"/>
      <c:spPr>
        <a:noFill/>
        <a:ln>
          <a:noFill/>
        </a:ln>
      </c:spPr>
    </c:title>
    <c:autoTitleDeleted val="0"/>
    <c:plotArea>
      <c:layout/>
      <c:lineChart>
        <c:grouping val="standard"/>
        <c:varyColors val="0"/>
        <c:ser>
          <c:idx val="0"/>
          <c:order val="0"/>
          <c:tx>
            <c:v>Total</c:v>
          </c:tx>
          <c:spPr>
            <a:ln w="28575" cap="rnd">
              <a:solidFill>
                <a:srgbClr val="156082"/>
              </a:solidFill>
              <a:prstDash val="solid"/>
              <a:round/>
            </a:ln>
          </c:spPr>
          <c:marker>
            <c:symbol val="none"/>
          </c:marker>
          <c:cat>
            <c:strLit>
              <c:ptCount val="4"/>
              <c:pt idx="0">
                <c:v>1975-1984</c:v>
              </c:pt>
              <c:pt idx="1">
                <c:v>1995-2004</c:v>
              </c:pt>
              <c:pt idx="2">
                <c:v>2005-2014</c:v>
              </c:pt>
              <c:pt idx="3">
                <c:v>2015-2024</c:v>
              </c:pt>
            </c:strLit>
          </c:cat>
          <c:val>
            <c:numLit>
              <c:formatCode>General</c:formatCode>
              <c:ptCount val="4"/>
              <c:pt idx="0">
                <c:v>354</c:v>
              </c:pt>
              <c:pt idx="1">
                <c:v>241</c:v>
              </c:pt>
              <c:pt idx="2">
                <c:v>240.92857142857142</c:v>
              </c:pt>
              <c:pt idx="3">
                <c:v>207.75903614457832</c:v>
              </c:pt>
            </c:numLit>
          </c:val>
          <c:smooth val="0"/>
          <c:extLst>
            <c:ext xmlns:c16="http://schemas.microsoft.com/office/drawing/2014/chart" uri="{C3380CC4-5D6E-409C-BE32-E72D297353CC}">
              <c16:uniqueId val="{00000000-FE39-4E83-B249-F94A7476C54A}"/>
            </c:ext>
          </c:extLst>
        </c:ser>
        <c:dLbls>
          <c:showLegendKey val="0"/>
          <c:showVal val="0"/>
          <c:showCatName val="0"/>
          <c:showSerName val="0"/>
          <c:showPercent val="0"/>
          <c:showBubbleSize val="0"/>
        </c:dLbls>
        <c:smooth val="0"/>
        <c:axId val="1683883727"/>
        <c:axId val="1683880847"/>
      </c:lineChart>
      <c:valAx>
        <c:axId val="1683880847"/>
        <c:scaling>
          <c:orientation val="minMax"/>
        </c:scaling>
        <c:delete val="0"/>
        <c:axPos val="l"/>
        <c:majorGridlines>
          <c:spPr>
            <a:ln w="9528" cap="flat">
              <a:solidFill>
                <a:srgbClr val="000000"/>
              </a:solidFill>
              <a:custDash>
                <a:ds d="100000" sp="100000"/>
              </a:custDash>
              <a:round/>
            </a:ln>
          </c:spPr>
        </c:majorGridlines>
        <c:title>
          <c:tx>
            <c:rich>
              <a:bodyPr lIns="0" tIns="0" rIns="0" bIns="0"/>
              <a:lstStyle/>
              <a:p>
                <a:pPr marL="0" marR="0" indent="0" algn="ctr"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r>
                  <a:rPr lang="en-GB" sz="1000" b="0" i="0" u="none" strike="noStrike" kern="1200" cap="none" spc="0" baseline="0">
                    <a:solidFill>
                      <a:srgbClr val="000000"/>
                    </a:solidFill>
                    <a:uFillTx/>
                    <a:latin typeface="Aptos Narrow"/>
                  </a:rPr>
                  <a:t>Average Duration (s)</a:t>
                </a:r>
              </a:p>
            </c:rich>
          </c:tx>
          <c:overlay val="0"/>
          <c:spPr>
            <a:noFill/>
            <a:ln>
              <a:noFill/>
            </a:ln>
          </c:spPr>
        </c:title>
        <c:numFmt formatCode="General" sourceLinked="0"/>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endParaRPr lang="en-US"/>
          </a:p>
        </c:txPr>
        <c:crossAx val="1683883727"/>
        <c:crosses val="autoZero"/>
        <c:crossBetween val="between"/>
      </c:valAx>
      <c:catAx>
        <c:axId val="1683883727"/>
        <c:scaling>
          <c:orientation val="minMax"/>
        </c:scaling>
        <c:delete val="0"/>
        <c:axPos val="b"/>
        <c:title>
          <c:tx>
            <c:rich>
              <a:bodyPr lIns="0" tIns="0" rIns="0" bIns="0"/>
              <a:lstStyle/>
              <a:p>
                <a:pPr marL="0" marR="0" indent="0" algn="ctr"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r>
                  <a:rPr lang="en-GB" sz="1000" b="0" i="0" u="none" strike="noStrike" kern="1200" cap="none" spc="0" baseline="0">
                    <a:solidFill>
                      <a:srgbClr val="000000"/>
                    </a:solidFill>
                    <a:uFillTx/>
                    <a:latin typeface="Aptos Narrow"/>
                  </a:rPr>
                  <a:t>Year</a:t>
                </a:r>
              </a:p>
            </c:rich>
          </c:tx>
          <c:overlay val="0"/>
          <c:spPr>
            <a:noFill/>
            <a:ln>
              <a:noFill/>
            </a:ln>
          </c:spPr>
        </c:title>
        <c:numFmt formatCode="General" sourceLinked="0"/>
        <c:majorTickMark val="none"/>
        <c:minorTickMark val="none"/>
        <c:tickLblPos val="nextTo"/>
        <c:spPr>
          <a:no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endParaRPr lang="en-US"/>
          </a:p>
        </c:txPr>
        <c:crossAx val="1683880847"/>
        <c:crosses val="autoZero"/>
        <c:auto val="1"/>
        <c:lblAlgn val="ctr"/>
        <c:lblOffset val="100"/>
        <c:noMultiLvlLbl val="0"/>
      </c:catAx>
      <c:spPr>
        <a:noFill/>
        <a:ln>
          <a:noFill/>
        </a:ln>
      </c:spPr>
    </c:plotArea>
    <c:plotVisOnly val="1"/>
    <c:dispBlanksAs val="gap"/>
    <c:showDLblsOverMax val="0"/>
  </c:chart>
  <c:spPr>
    <a:noFill/>
    <a:ln>
      <a:noFill/>
    </a:ln>
  </c:spPr>
  <c:txPr>
    <a:bodyPr lIns="0" tIns="0" rIns="0" bIns="0"/>
    <a:lstStyle/>
    <a:p>
      <a:pPr marL="0" marR="0" indent="0" defTabSz="914400" fontAlgn="auto" hangingPunct="1">
        <a:lnSpc>
          <a:spcPct val="100000"/>
        </a:lnSpc>
        <a:spcBef>
          <a:spcPts val="0"/>
        </a:spcBef>
        <a:spcAft>
          <a:spcPts val="0"/>
        </a:spcAft>
        <a:tabLst/>
        <a:defRPr lang="en-GB" sz="1000" b="0" i="0" u="none" strike="noStrike" kern="1200" baseline="0">
          <a:solidFill>
            <a:srgbClr val="000000"/>
          </a:solidFill>
          <a:latin typeface="Aptos Narrow"/>
        </a:defRPr>
      </a:pPr>
      <a:endParaRPr lang="en-US"/>
    </a:p>
  </c:txPr>
  <c:externalData r:id="rId1">
    <c:autoUpdate val="0"/>
  </c:externalData>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127001</xdr:colOff>
      <xdr:row>4</xdr:row>
      <xdr:rowOff>0</xdr:rowOff>
    </xdr:from>
    <xdr:ext cx="5530848" cy="3416298"/>
    <xdr:graphicFrame macro="">
      <xdr:nvGraphicFramePr>
        <xdr:cNvPr id="4" name="Chart 1">
          <a:extLst>
            <a:ext uri="{FF2B5EF4-FFF2-40B4-BE49-F238E27FC236}">
              <a16:creationId xmlns:a16="http://schemas.microsoft.com/office/drawing/2014/main" id="{B5768F40-6BF7-51C2-9439-2E5F210DB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247646</xdr:colOff>
      <xdr:row>3</xdr:row>
      <xdr:rowOff>146047</xdr:rowOff>
    </xdr:from>
    <xdr:ext cx="5543549" cy="6807195"/>
    <xdr:sp macro="" textlink="">
      <xdr:nvSpPr>
        <xdr:cNvPr id="3" name="TextBox 8">
          <a:extLst>
            <a:ext uri="{FF2B5EF4-FFF2-40B4-BE49-F238E27FC236}">
              <a16:creationId xmlns:a16="http://schemas.microsoft.com/office/drawing/2014/main" id="{EE5F6B76-6169-EECC-8292-DF768B4CCE77}"/>
            </a:ext>
          </a:extLst>
        </xdr:cNvPr>
        <xdr:cNvSpPr txBox="1"/>
      </xdr:nvSpPr>
      <xdr:spPr>
        <a:xfrm>
          <a:off x="5759446" y="698497"/>
          <a:ext cx="5543549" cy="6807195"/>
        </a:xfrm>
        <a:prstGeom prst="rect">
          <a:avLst/>
        </a:prstGeom>
        <a:noFill/>
        <a:ln cap="flat">
          <a:noFill/>
        </a:ln>
      </xdr:spPr>
      <xdr:txBody>
        <a:bodyPr vert="horz" wrap="square" lIns="91440" tIns="45720" rIns="91440" bIns="45720" anchor="t" anchorCtr="0" compatLnSpc="0">
          <a:no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As you can see from the graph, most variables show some form of variation over time.</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The average energy level, bpm and loudness follow a similar trend across the period of 1975 – 2024. The increase from 1975 was due to the rave culture which saw a fusion of electronic music into mainstream pop which dominated the late1990's and early 2000's. This also coincides with music the lowest danceability and acousticness values during the whole period.</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The decline after the 1995-2004 period was synonymous with the shift in the dominance of hip-hop/trap. The focus has shifted to short-term engagement and catching the immediate attention of the listener by utilising "hook-first" songwriting which often favours slower, more moody tempos leading to the stagnation over recent years.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The energy levels, bpm and loudness have stagnated over recent years for two main reasons. Firstly, since streaming services reward immediate engagement, artists are often aiming for the same "hook" or viral sound, leading to a homogenisation of sound. And secondly, the need for constant, quick engagement has shortened the average song length, reducing the opportunity for musical development, or "energy peaks" in a track. Ulimately, producers  are mastering the right level of loudness to make tracks stand out on radio, streaming, and in playlists.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 </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Danceability  - generally increases due to technological advancements where there is more focus on rhythm and suitability for dancing. This may reflect the influence of streaming platforms, club culture, and viral social media trends (like TikTok) that favour catchy, beat-driven tracks.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Liveness - Earlier music may have contained more live-recorded elements. Over time, production likely became more studio-based and digitally refined, reducing the 'live' feel of tracks.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Valance - demonstrates a consistent upward trend across all four periods, increasing gradually from 1975–1984 to 2015–2024. This steady rise suggests a trend toward brighter, more emotionally positive musical tones in popular music.</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Acousticness - Despite the decline corresponding to the rise in electronic and digitally produced sounds, the increase afterward may reflect renewed interest in acoustic or stripped-back elements. However, the subsequent decrease may show another move toward more produced styles.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Speechiness - remains relatively stable at first but gradually increases, This suggests that modern music includes more spoken-word elements, which may reflect the growing influence of rap, hip-hop, and conversational vocal styles in mainstream music.</a:t>
          </a:r>
        </a:p>
      </xdr:txBody>
    </xdr:sp>
    <xdr:clientData/>
  </xdr:oneCellAnchor>
  <xdr:oneCellAnchor>
    <xdr:from>
      <xdr:col>0</xdr:col>
      <xdr:colOff>0</xdr:colOff>
      <xdr:row>23</xdr:row>
      <xdr:rowOff>6345</xdr:rowOff>
    </xdr:from>
    <xdr:ext cx="4572000" cy="2743200"/>
    <xdr:graphicFrame macro="">
      <xdr:nvGraphicFramePr>
        <xdr:cNvPr id="7" name="Chart 3">
          <a:extLst>
            <a:ext uri="{FF2B5EF4-FFF2-40B4-BE49-F238E27FC236}">
              <a16:creationId xmlns:a16="http://schemas.microsoft.com/office/drawing/2014/main" id="{214EC6D6-5BC0-AEFF-3F6F-EFB9B4CD2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38103</xdr:colOff>
      <xdr:row>38</xdr:row>
      <xdr:rowOff>50794</xdr:rowOff>
    </xdr:from>
    <xdr:ext cx="4572000" cy="2743200"/>
    <xdr:graphicFrame macro="">
      <xdr:nvGraphicFramePr>
        <xdr:cNvPr id="9" name="Chart 5">
          <a:extLst>
            <a:ext uri="{FF2B5EF4-FFF2-40B4-BE49-F238E27FC236}">
              <a16:creationId xmlns:a16="http://schemas.microsoft.com/office/drawing/2014/main" id="{94C8E7C9-4143-BB5A-41C6-461EF673D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438143</xdr:colOff>
      <xdr:row>0</xdr:row>
      <xdr:rowOff>69851</xdr:rowOff>
    </xdr:from>
    <xdr:ext cx="6438903" cy="584201"/>
    <xdr:sp macro="" textlink="">
      <xdr:nvSpPr>
        <xdr:cNvPr id="2" name="TextBox 7">
          <a:extLst>
            <a:ext uri="{FF2B5EF4-FFF2-40B4-BE49-F238E27FC236}">
              <a16:creationId xmlns:a16="http://schemas.microsoft.com/office/drawing/2014/main" id="{AAEFB4BE-8B2D-2570-427F-6B2D13020F99}"/>
            </a:ext>
          </a:extLst>
        </xdr:cNvPr>
        <xdr:cNvSpPr txBox="1"/>
      </xdr:nvSpPr>
      <xdr:spPr>
        <a:xfrm>
          <a:off x="4730743" y="69851"/>
          <a:ext cx="6438903" cy="584201"/>
        </a:xfrm>
        <a:prstGeom prst="rect">
          <a:avLst/>
        </a:prstGeom>
        <a:noFill/>
        <a:ln cap="flat">
          <a:noFill/>
        </a:ln>
      </xdr:spPr>
      <xdr:txBody>
        <a:bodyPr vert="horz" wrap="square" lIns="91440" tIns="45720" rIns="91440" bIns="45720" anchor="ctr" anchorCtr="1" compatLnSpc="0">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800" b="1" i="0" u="none" strike="noStrike" kern="0" cap="none" spc="0" baseline="0">
              <a:solidFill>
                <a:srgbClr val="000000"/>
              </a:solidFill>
              <a:uFillTx/>
              <a:latin typeface="Aptos Narrow"/>
            </a:rPr>
            <a:t>Dashboard - Spotify's Top 100 Most Streamed Songs </a:t>
          </a:r>
        </a:p>
      </xdr:txBody>
    </xdr:sp>
    <xdr:clientData/>
  </xdr:oneCellAnchor>
  <xdr:oneCellAnchor>
    <xdr:from>
      <xdr:col>18</xdr:col>
      <xdr:colOff>546107</xdr:colOff>
      <xdr:row>4</xdr:row>
      <xdr:rowOff>6345</xdr:rowOff>
    </xdr:from>
    <xdr:ext cx="4572000" cy="2743200"/>
    <xdr:graphicFrame macro="">
      <xdr:nvGraphicFramePr>
        <xdr:cNvPr id="5" name="Chart 8">
          <a:extLst>
            <a:ext uri="{FF2B5EF4-FFF2-40B4-BE49-F238E27FC236}">
              <a16:creationId xmlns:a16="http://schemas.microsoft.com/office/drawing/2014/main" id="{518854BE-1B21-647E-62D5-202F419DC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19</xdr:col>
      <xdr:colOff>177795</xdr:colOff>
      <xdr:row>20</xdr:row>
      <xdr:rowOff>31747</xdr:rowOff>
    </xdr:from>
    <xdr:ext cx="4540252" cy="1682752"/>
    <xdr:sp macro="" textlink="">
      <xdr:nvSpPr>
        <xdr:cNvPr id="6" name="TextBox 9">
          <a:extLst>
            <a:ext uri="{FF2B5EF4-FFF2-40B4-BE49-F238E27FC236}">
              <a16:creationId xmlns:a16="http://schemas.microsoft.com/office/drawing/2014/main" id="{CF387041-0967-DA6E-D1F2-637E3FE1D89A}"/>
            </a:ext>
          </a:extLst>
        </xdr:cNvPr>
        <xdr:cNvSpPr txBox="1"/>
      </xdr:nvSpPr>
      <xdr:spPr>
        <a:xfrm>
          <a:off x="11785595" y="3714747"/>
          <a:ext cx="4540252" cy="1682752"/>
        </a:xfrm>
        <a:prstGeom prst="rect">
          <a:avLst/>
        </a:prstGeom>
        <a:noFill/>
        <a:ln cap="flat">
          <a:noFill/>
        </a:ln>
      </xdr:spPr>
      <xdr:txBody>
        <a:bodyPr vert="horz" wrap="square" lIns="91440" tIns="45720" rIns="91440" bIns="45720" anchor="t" anchorCtr="0" compatLnSpc="0">
          <a:no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The graph which shows the average duration of songs over time follows a similar trend to average liveness and an opposite trend to average valance and speechiness.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The general decrease in song duration is driven by the rise of short-form social media content which have promoted the need for modern songs to put away with traditional, longer structures, often focussing  on a 15 - 30 second catchy hook instead which in turn has led to a decrease in the liveness of music (as traditional structure contain things like bridges and intro/outros).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xdr:txBody>
    </xdr:sp>
    <xdr:clientData/>
  </xdr:oneCellAnchor>
  <xdr:oneCellAnchor>
    <xdr:from>
      <xdr:col>19</xdr:col>
      <xdr:colOff>158748</xdr:colOff>
      <xdr:row>29</xdr:row>
      <xdr:rowOff>146057</xdr:rowOff>
    </xdr:from>
    <xdr:ext cx="4540252" cy="1174747"/>
    <xdr:sp macro="" textlink="">
      <xdr:nvSpPr>
        <xdr:cNvPr id="8" name="TextBox 9">
          <a:extLst>
            <a:ext uri="{FF2B5EF4-FFF2-40B4-BE49-F238E27FC236}">
              <a16:creationId xmlns:a16="http://schemas.microsoft.com/office/drawing/2014/main" id="{C493BD29-7E1C-E16B-ED89-D58720CB0524}"/>
            </a:ext>
          </a:extLst>
        </xdr:cNvPr>
        <xdr:cNvSpPr txBox="1"/>
      </xdr:nvSpPr>
      <xdr:spPr>
        <a:xfrm>
          <a:off x="11766548" y="5486407"/>
          <a:ext cx="4540252" cy="1174747"/>
        </a:xfrm>
        <a:prstGeom prst="rect">
          <a:avLst/>
        </a:prstGeom>
        <a:noFill/>
        <a:ln cap="flat">
          <a:noFill/>
        </a:ln>
      </xdr:spPr>
      <xdr:txBody>
        <a:bodyPr vert="horz" wrap="square" lIns="91440" tIns="45720" rIns="91440" bIns="45720" anchor="t" anchorCtr="0" compatLnSpc="0">
          <a:no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sng" strike="noStrike" kern="0" cap="none" spc="0" baseline="0">
              <a:solidFill>
                <a:srgbClr val="000000"/>
              </a:solidFill>
              <a:uFillTx/>
              <a:latin typeface="Aptos Narrow"/>
            </a:rPr>
            <a:t>Conclusion</a:t>
          </a:r>
          <a:endParaRPr lang="en-GB" sz="1100" b="0" i="0" u="none" strike="noStrike" kern="0" cap="none" spc="0" baseline="0">
            <a:solidFill>
              <a:srgbClr val="000000"/>
            </a:solidFill>
            <a:uFillTx/>
            <a:latin typeface="Aptos Narrow"/>
          </a:endParaRP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Music peaked in energy around the late 1990s/early 2000s.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Recent music is becoming more danceable, positive (higher valence), and speech-focused with a significant reduction in song duration.</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0" i="0" u="none" strike="noStrike" kern="0" cap="none" spc="0" baseline="0">
              <a:solidFill>
                <a:srgbClr val="000000"/>
              </a:solidFill>
              <a:uFillTx/>
              <a:latin typeface="Aptos Narrow"/>
            </a:rPr>
            <a:t>Production styles have shifted away from live and acoustic elements toward more digitally produced, rhythm-driven tracks.</a:t>
          </a:r>
        </a:p>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n-GB" sz="1100" b="0" i="0" u="none" strike="noStrike" kern="0" cap="none" spc="0" baseline="0">
            <a:solidFill>
              <a:srgbClr val="000000"/>
            </a:solidFill>
            <a:uFillTx/>
            <a:latin typeface="Aptos Narrow"/>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 refreshedDate="0" createdVersion="8" refreshedVersion="8" recordCount="0" xr:uid="{9AC08150-DCD2-4AA3-A4D9-F1E6F76A4001}">
  <cacheSource type="worksheet">
    <worksheetSource name="Top_100_most_Streamed___Sheet1[#All]"/>
  </cacheSource>
  <cacheFields count="14">
    <cacheField name="year" numFmtId="0">
      <sharedItems containsSemiMixedTypes="0" containsString="0" containsNumber="1"/>
      <fieldGroup base="0">
        <rangePr startNum="0" endNum="0" groupInterval="10"/>
      </fieldGroup>
    </cacheField>
    <cacheField name="beats.per.minute" numFmtId="0">
      <sharedItems containsSemiMixedTypes="0" containsNonDate="0" containsString="0"/>
    </cacheField>
    <cacheField name="title" numFmtId="0">
      <sharedItems containsSemiMixedTypes="0" containsNonDate="0" containsString="0"/>
    </cacheField>
    <cacheField name="artist" numFmtId="0">
      <sharedItems containsSemiMixedTypes="0" containsNonDate="0" containsString="0"/>
    </cacheField>
    <cacheField name="top genre" numFmtId="0">
      <sharedItems containsSemiMixedTypes="0" containsNonDate="0" containsString="0"/>
    </cacheField>
    <cacheField name="energy" numFmtId="0">
      <sharedItems containsSemiMixedTypes="0" containsNonDate="0" containsString="0"/>
    </cacheField>
    <cacheField name="danceability" numFmtId="0">
      <sharedItems containsSemiMixedTypes="0" containsNonDate="0" containsString="0"/>
    </cacheField>
    <cacheField name="loudness.dB" numFmtId="0">
      <sharedItems containsSemiMixedTypes="0" containsNonDate="0" containsString="0"/>
    </cacheField>
    <cacheField name="liveness" numFmtId="0">
      <sharedItems containsSemiMixedTypes="0" containsNonDate="0" containsString="0"/>
    </cacheField>
    <cacheField name="valance" numFmtId="0">
      <sharedItems containsSemiMixedTypes="0" containsNonDate="0" containsString="0"/>
    </cacheField>
    <cacheField name="length" numFmtId="0">
      <sharedItems containsSemiMixedTypes="0" containsNonDate="0" containsString="0"/>
    </cacheField>
    <cacheField name="acousticness" numFmtId="0">
      <sharedItems containsSemiMixedTypes="0" containsNonDate="0" containsString="0"/>
    </cacheField>
    <cacheField name="speechiness" numFmtId="0">
      <sharedItems containsSemiMixedTypes="0" containsNonDate="0" containsString="0"/>
    </cacheField>
    <cacheField name="popularity"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 refreshedDate="0" createdVersion="8" refreshedVersion="8" recordCount="0" xr:uid="{3803BD81-25FC-49AE-863C-E54AEFD66F2E}">
  <cacheSource type="worksheet">
    <worksheetSource name="Top_100_most_Streamed___Sheet1[#All]"/>
  </cacheSource>
  <cacheFields count="14">
    <cacheField name="year" numFmtId="0">
      <sharedItems containsSemiMixedTypes="0" containsString="0" containsNumber="1"/>
      <fieldGroup base="0">
        <rangePr startNum="0" endNum="0" groupInterval="10"/>
      </fieldGroup>
    </cacheField>
    <cacheField name="length" numFmtId="0">
      <sharedItems containsSemiMixedTypes="0" containsNonDate="0" containsString="0"/>
    </cacheField>
    <cacheField name="title" numFmtId="0">
      <sharedItems containsSemiMixedTypes="0" containsNonDate="0" containsString="0"/>
    </cacheField>
    <cacheField name="artist" numFmtId="0">
      <sharedItems containsSemiMixedTypes="0" containsNonDate="0" containsString="0"/>
    </cacheField>
    <cacheField name="top genre" numFmtId="0">
      <sharedItems containsSemiMixedTypes="0" containsNonDate="0" containsString="0"/>
    </cacheField>
    <cacheField name="beats.per.minute" numFmtId="0">
      <sharedItems containsSemiMixedTypes="0" containsNonDate="0" containsString="0"/>
    </cacheField>
    <cacheField name="energy" numFmtId="0">
      <sharedItems containsSemiMixedTypes="0" containsNonDate="0" containsString="0"/>
    </cacheField>
    <cacheField name="danceability" numFmtId="0">
      <sharedItems containsSemiMixedTypes="0" containsNonDate="0" containsString="0"/>
    </cacheField>
    <cacheField name="loudness.dB" numFmtId="0">
      <sharedItems containsSemiMixedTypes="0" containsNonDate="0" containsString="0"/>
    </cacheField>
    <cacheField name="liveness" numFmtId="0">
      <sharedItems containsSemiMixedTypes="0" containsNonDate="0" containsString="0"/>
    </cacheField>
    <cacheField name="valance" numFmtId="0">
      <sharedItems containsSemiMixedTypes="0" containsNonDate="0" containsString="0"/>
    </cacheField>
    <cacheField name="acousticness" numFmtId="0">
      <sharedItems containsSemiMixedTypes="0" containsNonDate="0" containsString="0"/>
    </cacheField>
    <cacheField name="speechiness" numFmtId="0">
      <sharedItems containsSemiMixedTypes="0" containsNonDate="0" containsString="0"/>
    </cacheField>
    <cacheField name="popularity"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 refreshedDate="0" createdVersion="8" refreshedVersion="8" recordCount="0" xr:uid="{C7D72879-9AFF-4151-94DC-FA7080D62120}">
  <cacheSource type="worksheet">
    <worksheetSource name="Top_100_most_Streamed___Sheet1[#All]"/>
  </cacheSource>
  <cacheFields count="14">
    <cacheField name="year" numFmtId="0">
      <sharedItems containsSemiMixedTypes="0" containsString="0" containsNumber="1"/>
      <fieldGroup base="0">
        <rangePr startNum="0" endNum="0" groupInterval="10"/>
      </fieldGroup>
    </cacheField>
    <cacheField name="loudness.dB" numFmtId="0">
      <sharedItems containsSemiMixedTypes="0" containsNonDate="0" containsString="0"/>
    </cacheField>
    <cacheField name="title" numFmtId="0">
      <sharedItems containsSemiMixedTypes="0" containsNonDate="0" containsString="0"/>
    </cacheField>
    <cacheField name="artist" numFmtId="0">
      <sharedItems containsSemiMixedTypes="0" containsNonDate="0" containsString="0"/>
    </cacheField>
    <cacheField name="top genre" numFmtId="0">
      <sharedItems containsSemiMixedTypes="0" containsNonDate="0" containsString="0"/>
    </cacheField>
    <cacheField name="beats.per.minute" numFmtId="0">
      <sharedItems containsSemiMixedTypes="0" containsNonDate="0" containsString="0"/>
    </cacheField>
    <cacheField name="energy" numFmtId="0">
      <sharedItems containsSemiMixedTypes="0" containsNonDate="0" containsString="0"/>
    </cacheField>
    <cacheField name="danceability" numFmtId="0">
      <sharedItems containsSemiMixedTypes="0" containsNonDate="0" containsString="0"/>
    </cacheField>
    <cacheField name="liveness" numFmtId="0">
      <sharedItems containsSemiMixedTypes="0" containsNonDate="0" containsString="0"/>
    </cacheField>
    <cacheField name="valance" numFmtId="0">
      <sharedItems containsSemiMixedTypes="0" containsNonDate="0" containsString="0"/>
    </cacheField>
    <cacheField name="length" numFmtId="0">
      <sharedItems containsSemiMixedTypes="0" containsNonDate="0" containsString="0"/>
    </cacheField>
    <cacheField name="acousticness" numFmtId="0">
      <sharedItems containsSemiMixedTypes="0" containsNonDate="0" containsString="0"/>
    </cacheField>
    <cacheField name="speechiness" numFmtId="0">
      <sharedItems containsSemiMixedTypes="0" containsNonDate="0" containsString="0"/>
    </cacheField>
    <cacheField name="popularity"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 refreshedDate="0" createdVersion="8" refreshedVersion="8" recordCount="0" xr:uid="{1681181B-A246-440F-9CFD-6994806DB042}">
  <cacheSource type="worksheet">
    <worksheetSource name="Top_100_most_Streamed___Sheet1[#All]"/>
  </cacheSource>
  <cacheFields count="14">
    <cacheField name="year" numFmtId="0">
      <sharedItems containsSemiMixedTypes="0" containsString="0" containsNumber="1"/>
      <fieldGroup base="0">
        <rangePr startNum="0" endNum="0" groupInterval="10"/>
      </fieldGroup>
    </cacheField>
    <cacheField name="energy" numFmtId="0">
      <sharedItems containsSemiMixedTypes="0" containsNonDate="0" containsString="0"/>
    </cacheField>
    <cacheField name="danceability" numFmtId="0">
      <sharedItems containsSemiMixedTypes="0" containsNonDate="0" containsString="0"/>
    </cacheField>
    <cacheField name="liveness" numFmtId="0">
      <sharedItems containsSemiMixedTypes="0" containsNonDate="0" containsString="0"/>
    </cacheField>
    <cacheField name="valance" numFmtId="0">
      <sharedItems containsSemiMixedTypes="0" containsNonDate="0" containsString="0"/>
    </cacheField>
    <cacheField name="acousticness" numFmtId="0">
      <sharedItems containsSemiMixedTypes="0" containsNonDate="0" containsString="0"/>
    </cacheField>
    <cacheField name="speechiness" numFmtId="0">
      <sharedItems containsSemiMixedTypes="0" containsNonDate="0" containsString="0"/>
    </cacheField>
    <cacheField name="title" numFmtId="0">
      <sharedItems containsSemiMixedTypes="0" containsNonDate="0" containsString="0"/>
    </cacheField>
    <cacheField name="artist" numFmtId="0">
      <sharedItems containsSemiMixedTypes="0" containsNonDate="0" containsString="0"/>
    </cacheField>
    <cacheField name="top genre" numFmtId="0">
      <sharedItems containsSemiMixedTypes="0" containsNonDate="0" containsString="0"/>
    </cacheField>
    <cacheField name="beats.per.minute" numFmtId="0">
      <sharedItems containsSemiMixedTypes="0" containsNonDate="0" containsString="0"/>
    </cacheField>
    <cacheField name="loudness.dB" numFmtId="0">
      <sharedItems containsSemiMixedTypes="0" containsNonDate="0" containsString="0"/>
    </cacheField>
    <cacheField name="length" numFmtId="0">
      <sharedItems containsSemiMixedTypes="0" containsNonDate="0" containsString="0"/>
    </cacheField>
    <cacheField name="popularity"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E7B93F-AFEB-4ED3-ADA3-73DD87C1287C}" name="PivotTable1" cacheId="3"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location ref="A3:G7" firstHeaderRow="1" firstDataRow="2" firstDataCol="1"/>
  <pivotFields count="14">
    <pivotField axis="axisRow" compact="0" showAll="0" includeNewItemsInFilter="1">
      <items count="1">
        <item t="default"/>
      </items>
    </pivotField>
    <pivotField dataField="1" compact="0" showAll="0" includeNewItemsInFilter="1">
      <items count="1">
        <item t="default"/>
      </items>
    </pivotField>
    <pivotField dataField="1" compact="0" showAll="0" includeNewItemsInFilter="1">
      <items count="1">
        <item t="default"/>
      </items>
    </pivotField>
    <pivotField dataField="1" compact="0" showAll="0" includeNewItemsInFilter="1">
      <items count="1">
        <item t="default"/>
      </items>
    </pivotField>
    <pivotField dataField="1" compact="0" showAll="0" includeNewItemsInFilter="1">
      <items count="1">
        <item t="default"/>
      </items>
    </pivotField>
    <pivotField dataField="1" compact="0" showAll="0" includeNewItemsInFilter="1">
      <items count="1">
        <item t="default"/>
      </items>
    </pivotField>
    <pivotField dataField="1"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s>
  <rowFields count="1">
    <field x="0"/>
  </rowFields>
  <colFields count="1">
    <field x="-2"/>
  </colFields>
  <dataFields count="6">
    <dataField name="Average of energy" fld="1" subtotal="average" baseField="1" baseItem="1048828"/>
    <dataField name="Average of danceability" fld="2" subtotal="average" baseField="2" baseItem="1048828"/>
    <dataField name="Average of liveness" fld="3" subtotal="average" baseField="3" baseItem="1048828"/>
    <dataField name="Average of valance" fld="4" subtotal="average" baseField="4" baseItem="1048828"/>
    <dataField name="Average of acousticness" fld="5" subtotal="average" baseField="5" baseItem="1048828"/>
    <dataField name="Average of speechiness" fld="6" subtotal="average" baseField="6" baseItem="1048828"/>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D41D4B-879D-422E-99ED-45F278F5C685}" name="PivotTable3" cacheId="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location ref="A18:B22" firstHeaderRow="1" firstDataRow="1" firstDataCol="1"/>
  <pivotFields count="14">
    <pivotField axis="axisRow" compact="0" showAll="0" includeNewItemsInFilter="1">
      <items count="1">
        <item t="default"/>
      </items>
    </pivotField>
    <pivotField dataField="1"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s>
  <rowFields count="1">
    <field x="0"/>
  </rowFields>
  <dataFields count="1">
    <dataField name="Average of loudness.dB" fld="1" subtotal="average" baseField="1" baseItem="1048828"/>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EC4F55-1283-4847-8824-81D2381E5C07}"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location ref="A25:B30" firstHeaderRow="1" firstDataRow="1" firstDataCol="1"/>
  <pivotFields count="14">
    <pivotField axis="axisRow" compact="0" showAll="0" includeNewItemsInFilter="1">
      <items count="1">
        <item t="default"/>
      </items>
    </pivotField>
    <pivotField dataField="1"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s>
  <rowFields count="1">
    <field x="0"/>
  </rowFields>
  <dataFields count="1">
    <dataField name="Average of length" fld="1" subtotal="average" baseField="1" baseItem="1048828"/>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04F0C2-7069-47B6-99DB-2DC2B65BF09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location ref="A10:B14" firstHeaderRow="1" firstDataRow="1" firstDataCol="1"/>
  <pivotFields count="14">
    <pivotField axis="axisRow" compact="0" showAll="0" includeNewItemsInFilter="1">
      <items count="1">
        <item t="default"/>
      </items>
    </pivotField>
    <pivotField dataField="1"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 compact="0" showAll="0" includeNewItemsInFilter="1">
      <items count="1">
        <item t="default"/>
      </items>
    </pivotField>
  </pivotFields>
  <rowFields count="1">
    <field x="0"/>
  </rowFields>
  <dataFields count="1">
    <dataField name="Average of beats.per.minute" fld="1" subtotal="average" baseField="1" baseItem="1048828"/>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onnection1" connectionId="1" xr16:uid="{DB8D657A-1D89-4161-A616-182A383E277A}" autoFormatId="0" applyNumberFormats="0" applyBorderFormats="0" applyFontFormats="0" applyPatternFormats="0" applyAlignmentFormats="0" applyWidthHeightFormats="0">
  <queryTableRefresh nextId="15">
    <queryTableFields count="14">
      <queryTableField id="1" name="title" tableColumnId="1"/>
      <queryTableField id="2" name="artist" tableColumnId="2"/>
      <queryTableField id="3" name="top genre" tableColumnId="3"/>
      <queryTableField id="4" name="year" tableColumnId="4"/>
      <queryTableField id="5" name="beats.per.minute" tableColumnId="5"/>
      <queryTableField id="6" name="energy" tableColumnId="6"/>
      <queryTableField id="7" name="danceability" tableColumnId="7"/>
      <queryTableField id="8" name="loudness.dB" tableColumnId="8"/>
      <queryTableField id="9" name="liveness" tableColumnId="9"/>
      <queryTableField id="10" name="valance" tableColumnId="10"/>
      <queryTableField id="11" name="length" tableColumnId="11"/>
      <queryTableField id="12" name="acousticness" tableColumnId="12"/>
      <queryTableField id="13" name="speechiness" tableColumnId="13"/>
      <queryTableField id="14" name="popularity"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39D7B5-C4A0-4753-9158-CAE91826E729}" name="Top_100_most_Streamed___Sheet1" displayName="Top_100_most_Streamed___Sheet1" ref="A1:N101" tableType="queryTable" totalsRowShown="0">
  <autoFilter ref="A1:N101" xr:uid="{AAD437AF-EA7D-405A-A158-913EACA1AF23}"/>
  <tableColumns count="14">
    <tableColumn id="1" xr3:uid="{6FFB81CF-49CF-4CCA-899D-5DA7EAF14F41}" uniqueName="1" name="title" queryTableFieldId="1"/>
    <tableColumn id="2" xr3:uid="{A64CCA34-029B-418E-824B-38B0DFB2003C}" uniqueName="2" name="artist" queryTableFieldId="2"/>
    <tableColumn id="3" xr3:uid="{E99448BC-D7E1-4B18-B21C-0D260CC3516D}" uniqueName="3" name="top genre" queryTableFieldId="3"/>
    <tableColumn id="4" xr3:uid="{2A9790C5-32B6-41F7-9C02-E7134FA87793}" uniqueName="4" name="year" queryTableFieldId="4"/>
    <tableColumn id="5" xr3:uid="{BE5FCCFB-119B-4600-A50D-E70F7C2C14CF}" uniqueName="5" name="beats.per.minute" queryTableFieldId="5"/>
    <tableColumn id="6" xr3:uid="{C10F974C-B7BB-40E4-BF48-6B19D8DD2951}" uniqueName="6" name="energy" queryTableFieldId="6"/>
    <tableColumn id="7" xr3:uid="{92396243-DFAA-4133-AB4F-7370E470EEA0}" uniqueName="7" name="danceability" queryTableFieldId="7"/>
    <tableColumn id="8" xr3:uid="{0904B1E0-DCA6-4398-845B-EFB6C98858DD}" uniqueName="8" name="loudness.dB" queryTableFieldId="8"/>
    <tableColumn id="9" xr3:uid="{C4E940DC-4747-4F87-8811-E84CA273CCC9}" uniqueName="9" name="liveness" queryTableFieldId="9"/>
    <tableColumn id="10" xr3:uid="{30DEBEFF-C88C-4686-B249-A2D28C6F759F}" uniqueName="10" name="valance" queryTableFieldId="10"/>
    <tableColumn id="11" xr3:uid="{74CE5E9A-FF3B-4D60-AFB6-5762E40AC3B8}" uniqueName="11" name="length" queryTableFieldId="11"/>
    <tableColumn id="12" xr3:uid="{470497E2-7788-4D7D-89F0-374CCC3B97E3}" uniqueName="12" name="acousticness" queryTableFieldId="12"/>
    <tableColumn id="13" xr3:uid="{B0A0EF7E-9819-4D15-92BA-D71921DB8C1D}" uniqueName="13" name="speechiness" queryTableFieldId="13"/>
    <tableColumn id="14" xr3:uid="{0AF2757A-A66B-49BD-BF4B-62038C2018B7}" uniqueName="14" name="popularity" queryTableFieldId="1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DE88E-8FEF-4A78-B7F4-1EB10A24D658}">
  <dimension ref="A1:N101"/>
  <sheetViews>
    <sheetView tabSelected="1" workbookViewId="0"/>
  </sheetViews>
  <sheetFormatPr defaultRowHeight="14.5" x14ac:dyDescent="0.35"/>
  <cols>
    <col min="1" max="1" width="56.81640625" bestFit="1" customWidth="1"/>
    <col min="2" max="2" width="21.81640625" bestFit="1" customWidth="1"/>
    <col min="3" max="3" width="23.36328125" bestFit="1" customWidth="1"/>
    <col min="4" max="4" width="6.54296875" bestFit="1" customWidth="1"/>
    <col min="5" max="5" width="17.08984375" bestFit="1" customWidth="1"/>
    <col min="6" max="6" width="8.453125" bestFit="1" customWidth="1"/>
    <col min="7" max="7" width="12.90625" bestFit="1" customWidth="1"/>
    <col min="8" max="8" width="13" bestFit="1" customWidth="1"/>
    <col min="9" max="9" width="9.6328125" bestFit="1" customWidth="1"/>
    <col min="10" max="10" width="9.36328125" bestFit="1" customWidth="1"/>
    <col min="11" max="11" width="8.08984375" bestFit="1" customWidth="1"/>
    <col min="12" max="12" width="13.90625" bestFit="1" customWidth="1"/>
    <col min="13" max="13" width="13.26953125" bestFit="1" customWidth="1"/>
    <col min="14" max="14" width="11.08984375" bestFit="1" customWidth="1"/>
    <col min="15" max="15" width="8.72656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v>2020</v>
      </c>
      <c r="E2">
        <v>171</v>
      </c>
      <c r="F2">
        <v>73</v>
      </c>
      <c r="G2">
        <v>51</v>
      </c>
      <c r="H2">
        <v>-6</v>
      </c>
      <c r="I2">
        <v>9</v>
      </c>
      <c r="J2">
        <v>33</v>
      </c>
      <c r="K2">
        <v>200</v>
      </c>
      <c r="L2">
        <v>0</v>
      </c>
      <c r="M2">
        <v>6</v>
      </c>
      <c r="N2">
        <v>91</v>
      </c>
    </row>
    <row r="3" spans="1:14" x14ac:dyDescent="0.35">
      <c r="A3" t="s">
        <v>17</v>
      </c>
      <c r="B3" t="s">
        <v>18</v>
      </c>
      <c r="C3" t="s">
        <v>19</v>
      </c>
      <c r="D3">
        <v>2019</v>
      </c>
      <c r="E3">
        <v>95</v>
      </c>
      <c r="F3">
        <v>82</v>
      </c>
      <c r="G3">
        <v>55</v>
      </c>
      <c r="H3">
        <v>-4</v>
      </c>
      <c r="I3">
        <v>34</v>
      </c>
      <c r="J3">
        <v>56</v>
      </c>
      <c r="K3">
        <v>174</v>
      </c>
      <c r="L3">
        <v>12</v>
      </c>
      <c r="M3">
        <v>5</v>
      </c>
      <c r="N3">
        <v>88</v>
      </c>
    </row>
    <row r="4" spans="1:14" x14ac:dyDescent="0.35">
      <c r="A4" t="s">
        <v>20</v>
      </c>
      <c r="B4" t="s">
        <v>21</v>
      </c>
      <c r="C4" t="s">
        <v>22</v>
      </c>
      <c r="D4">
        <v>2021</v>
      </c>
      <c r="E4">
        <v>91</v>
      </c>
      <c r="F4">
        <v>72</v>
      </c>
      <c r="G4">
        <v>70</v>
      </c>
      <c r="H4">
        <v>-4</v>
      </c>
      <c r="I4">
        <v>32</v>
      </c>
      <c r="J4">
        <v>73</v>
      </c>
      <c r="K4">
        <v>141</v>
      </c>
      <c r="L4">
        <v>17</v>
      </c>
      <c r="M4">
        <v>4</v>
      </c>
      <c r="N4">
        <v>88</v>
      </c>
    </row>
    <row r="5" spans="1:14" x14ac:dyDescent="0.35">
      <c r="A5" t="s">
        <v>23</v>
      </c>
      <c r="B5" t="s">
        <v>24</v>
      </c>
      <c r="C5" t="s">
        <v>19</v>
      </c>
      <c r="D5">
        <v>2019</v>
      </c>
      <c r="E5">
        <v>110</v>
      </c>
      <c r="F5">
        <v>41</v>
      </c>
      <c r="G5">
        <v>50</v>
      </c>
      <c r="H5">
        <v>-6</v>
      </c>
      <c r="I5">
        <v>11</v>
      </c>
      <c r="J5">
        <v>45</v>
      </c>
      <c r="K5">
        <v>182</v>
      </c>
      <c r="L5">
        <v>75</v>
      </c>
      <c r="M5">
        <v>3</v>
      </c>
      <c r="N5">
        <v>86</v>
      </c>
    </row>
    <row r="6" spans="1:14" x14ac:dyDescent="0.35">
      <c r="A6" t="s">
        <v>25</v>
      </c>
      <c r="B6" t="s">
        <v>26</v>
      </c>
      <c r="C6" t="s">
        <v>19</v>
      </c>
      <c r="D6">
        <v>2017</v>
      </c>
      <c r="E6">
        <v>95</v>
      </c>
      <c r="F6">
        <v>45</v>
      </c>
      <c r="G6">
        <v>60</v>
      </c>
      <c r="H6">
        <v>-6</v>
      </c>
      <c r="I6">
        <v>11</v>
      </c>
      <c r="J6">
        <v>17</v>
      </c>
      <c r="K6">
        <v>263</v>
      </c>
      <c r="L6">
        <v>16</v>
      </c>
      <c r="M6">
        <v>2</v>
      </c>
      <c r="N6">
        <v>86</v>
      </c>
    </row>
    <row r="7" spans="1:14" x14ac:dyDescent="0.35">
      <c r="A7" t="s">
        <v>27</v>
      </c>
      <c r="B7" t="s">
        <v>28</v>
      </c>
      <c r="C7" t="s">
        <v>29</v>
      </c>
      <c r="D7">
        <v>2017</v>
      </c>
      <c r="E7">
        <v>125</v>
      </c>
      <c r="F7">
        <v>78</v>
      </c>
      <c r="G7">
        <v>78</v>
      </c>
      <c r="H7">
        <v>-4</v>
      </c>
      <c r="I7">
        <v>8</v>
      </c>
      <c r="J7">
        <v>67</v>
      </c>
      <c r="K7">
        <v>204</v>
      </c>
      <c r="L7">
        <v>6</v>
      </c>
      <c r="M7">
        <v>13</v>
      </c>
      <c r="N7">
        <v>86</v>
      </c>
    </row>
    <row r="8" spans="1:14" x14ac:dyDescent="0.35">
      <c r="A8" t="s">
        <v>30</v>
      </c>
      <c r="B8" t="s">
        <v>31</v>
      </c>
      <c r="C8" t="s">
        <v>32</v>
      </c>
      <c r="D8">
        <v>2018</v>
      </c>
      <c r="E8">
        <v>115</v>
      </c>
      <c r="F8">
        <v>30</v>
      </c>
      <c r="G8">
        <v>35</v>
      </c>
      <c r="H8">
        <v>-10</v>
      </c>
      <c r="I8">
        <v>10</v>
      </c>
      <c r="J8">
        <v>12</v>
      </c>
      <c r="K8">
        <v>200</v>
      </c>
      <c r="L8">
        <v>93</v>
      </c>
      <c r="M8">
        <v>3</v>
      </c>
      <c r="N8">
        <v>86</v>
      </c>
    </row>
    <row r="9" spans="1:14" x14ac:dyDescent="0.35">
      <c r="A9" t="s">
        <v>33</v>
      </c>
      <c r="B9" t="s">
        <v>34</v>
      </c>
      <c r="C9" t="s">
        <v>35</v>
      </c>
      <c r="D9">
        <v>2019</v>
      </c>
      <c r="E9">
        <v>120</v>
      </c>
      <c r="F9">
        <v>76</v>
      </c>
      <c r="G9">
        <v>70</v>
      </c>
      <c r="H9">
        <v>-3</v>
      </c>
      <c r="I9">
        <v>9</v>
      </c>
      <c r="J9">
        <v>55</v>
      </c>
      <c r="K9">
        <v>215</v>
      </c>
      <c r="L9">
        <v>19</v>
      </c>
      <c r="M9">
        <v>4</v>
      </c>
      <c r="N9">
        <v>86</v>
      </c>
    </row>
    <row r="10" spans="1:14" x14ac:dyDescent="0.35">
      <c r="A10" t="s">
        <v>36</v>
      </c>
      <c r="B10" t="s">
        <v>26</v>
      </c>
      <c r="C10" t="s">
        <v>19</v>
      </c>
      <c r="D10">
        <v>2017</v>
      </c>
      <c r="E10">
        <v>96</v>
      </c>
      <c r="F10">
        <v>65</v>
      </c>
      <c r="G10">
        <v>83</v>
      </c>
      <c r="H10">
        <v>-3</v>
      </c>
      <c r="I10">
        <v>9</v>
      </c>
      <c r="J10">
        <v>93</v>
      </c>
      <c r="K10">
        <v>234</v>
      </c>
      <c r="L10">
        <v>58</v>
      </c>
      <c r="M10">
        <v>8</v>
      </c>
      <c r="N10">
        <v>85</v>
      </c>
    </row>
    <row r="11" spans="1:14" x14ac:dyDescent="0.35">
      <c r="A11" t="s">
        <v>37</v>
      </c>
      <c r="B11" t="s">
        <v>38</v>
      </c>
      <c r="C11" t="s">
        <v>19</v>
      </c>
      <c r="D11">
        <v>2021</v>
      </c>
      <c r="E11">
        <v>91</v>
      </c>
      <c r="F11">
        <v>33</v>
      </c>
      <c r="G11">
        <v>78</v>
      </c>
      <c r="H11">
        <v>-7</v>
      </c>
      <c r="I11">
        <v>8</v>
      </c>
      <c r="J11">
        <v>60</v>
      </c>
      <c r="K11">
        <v>189</v>
      </c>
      <c r="L11">
        <v>84</v>
      </c>
      <c r="M11">
        <v>6</v>
      </c>
      <c r="N11">
        <v>85</v>
      </c>
    </row>
    <row r="12" spans="1:14" x14ac:dyDescent="0.35">
      <c r="A12" t="s">
        <v>39</v>
      </c>
      <c r="B12" t="s">
        <v>40</v>
      </c>
      <c r="C12" t="s">
        <v>41</v>
      </c>
      <c r="D12">
        <v>2016</v>
      </c>
      <c r="E12">
        <v>95</v>
      </c>
      <c r="F12">
        <v>52</v>
      </c>
      <c r="G12">
        <v>75</v>
      </c>
      <c r="H12">
        <v>-6</v>
      </c>
      <c r="I12">
        <v>11</v>
      </c>
      <c r="J12">
        <v>66</v>
      </c>
      <c r="K12">
        <v>245</v>
      </c>
      <c r="L12">
        <v>41</v>
      </c>
      <c r="M12">
        <v>3</v>
      </c>
      <c r="N12">
        <v>84</v>
      </c>
    </row>
    <row r="13" spans="1:14" x14ac:dyDescent="0.35">
      <c r="A13" t="s">
        <v>42</v>
      </c>
      <c r="B13" t="s">
        <v>31</v>
      </c>
      <c r="C13" t="s">
        <v>32</v>
      </c>
      <c r="D13">
        <v>2019</v>
      </c>
      <c r="E13">
        <v>135</v>
      </c>
      <c r="F13">
        <v>43</v>
      </c>
      <c r="G13">
        <v>70</v>
      </c>
      <c r="H13">
        <v>-11</v>
      </c>
      <c r="I13">
        <v>10</v>
      </c>
      <c r="J13">
        <v>56</v>
      </c>
      <c r="K13">
        <v>194</v>
      </c>
      <c r="L13">
        <v>33</v>
      </c>
      <c r="M13">
        <v>38</v>
      </c>
      <c r="N13">
        <v>84</v>
      </c>
    </row>
    <row r="14" spans="1:14" x14ac:dyDescent="0.35">
      <c r="A14" t="s">
        <v>43</v>
      </c>
      <c r="B14" t="s">
        <v>44</v>
      </c>
      <c r="C14" t="s">
        <v>19</v>
      </c>
      <c r="D14">
        <v>2016</v>
      </c>
      <c r="E14">
        <v>85</v>
      </c>
      <c r="F14">
        <v>56</v>
      </c>
      <c r="G14">
        <v>36</v>
      </c>
      <c r="H14">
        <v>-7</v>
      </c>
      <c r="I14">
        <v>9</v>
      </c>
      <c r="J14">
        <v>49</v>
      </c>
      <c r="K14">
        <v>211</v>
      </c>
      <c r="L14">
        <v>70</v>
      </c>
      <c r="M14">
        <v>6</v>
      </c>
      <c r="N14">
        <v>84</v>
      </c>
    </row>
    <row r="15" spans="1:14" x14ac:dyDescent="0.35">
      <c r="A15" t="s">
        <v>45</v>
      </c>
      <c r="B15" t="s">
        <v>46</v>
      </c>
      <c r="C15" t="s">
        <v>47</v>
      </c>
      <c r="D15">
        <v>2018</v>
      </c>
      <c r="E15">
        <v>84</v>
      </c>
      <c r="F15">
        <v>57</v>
      </c>
      <c r="G15">
        <v>51</v>
      </c>
      <c r="H15">
        <v>-7</v>
      </c>
      <c r="I15">
        <v>34</v>
      </c>
      <c r="J15">
        <v>22</v>
      </c>
      <c r="K15">
        <v>240</v>
      </c>
      <c r="L15">
        <v>35</v>
      </c>
      <c r="M15">
        <v>20</v>
      </c>
      <c r="N15">
        <v>84</v>
      </c>
    </row>
    <row r="16" spans="1:14" x14ac:dyDescent="0.35">
      <c r="A16" t="s">
        <v>48</v>
      </c>
      <c r="B16" t="s">
        <v>49</v>
      </c>
      <c r="C16" t="s">
        <v>50</v>
      </c>
      <c r="D16">
        <v>2013</v>
      </c>
      <c r="E16">
        <v>120</v>
      </c>
      <c r="F16">
        <v>26</v>
      </c>
      <c r="G16">
        <v>42</v>
      </c>
      <c r="H16">
        <v>-7</v>
      </c>
      <c r="I16">
        <v>13</v>
      </c>
      <c r="J16">
        <v>33</v>
      </c>
      <c r="K16">
        <v>270</v>
      </c>
      <c r="L16">
        <v>92</v>
      </c>
      <c r="M16">
        <v>3</v>
      </c>
      <c r="N16">
        <v>84</v>
      </c>
    </row>
    <row r="17" spans="1:14" x14ac:dyDescent="0.35">
      <c r="A17" t="s">
        <v>51</v>
      </c>
      <c r="B17" t="s">
        <v>52</v>
      </c>
      <c r="C17" t="s">
        <v>41</v>
      </c>
      <c r="D17">
        <v>2019</v>
      </c>
      <c r="E17">
        <v>140</v>
      </c>
      <c r="F17">
        <v>32</v>
      </c>
      <c r="G17">
        <v>78</v>
      </c>
      <c r="H17">
        <v>-11</v>
      </c>
      <c r="I17">
        <v>9</v>
      </c>
      <c r="J17">
        <v>33</v>
      </c>
      <c r="K17">
        <v>179</v>
      </c>
      <c r="L17">
        <v>59</v>
      </c>
      <c r="M17">
        <v>33</v>
      </c>
      <c r="N17">
        <v>84</v>
      </c>
    </row>
    <row r="18" spans="1:14" x14ac:dyDescent="0.35">
      <c r="A18" t="s">
        <v>53</v>
      </c>
      <c r="B18" t="s">
        <v>54</v>
      </c>
      <c r="C18" t="s">
        <v>55</v>
      </c>
      <c r="D18">
        <v>2017</v>
      </c>
      <c r="E18">
        <v>134</v>
      </c>
      <c r="F18">
        <v>39</v>
      </c>
      <c r="G18">
        <v>87</v>
      </c>
      <c r="H18">
        <v>-9</v>
      </c>
      <c r="I18">
        <v>30</v>
      </c>
      <c r="J18">
        <v>44</v>
      </c>
      <c r="K18">
        <v>119</v>
      </c>
      <c r="L18">
        <v>47</v>
      </c>
      <c r="M18">
        <v>24</v>
      </c>
      <c r="N18">
        <v>84</v>
      </c>
    </row>
    <row r="19" spans="1:14" x14ac:dyDescent="0.35">
      <c r="A19" t="s">
        <v>56</v>
      </c>
      <c r="B19" t="s">
        <v>57</v>
      </c>
      <c r="C19" t="s">
        <v>58</v>
      </c>
      <c r="D19">
        <v>2016</v>
      </c>
      <c r="E19">
        <v>130</v>
      </c>
      <c r="F19">
        <v>73</v>
      </c>
      <c r="G19">
        <v>84</v>
      </c>
      <c r="H19">
        <v>-3</v>
      </c>
      <c r="I19">
        <v>15</v>
      </c>
      <c r="J19">
        <v>43</v>
      </c>
      <c r="K19">
        <v>244</v>
      </c>
      <c r="L19">
        <v>8</v>
      </c>
      <c r="M19">
        <v>5</v>
      </c>
      <c r="N19">
        <v>84</v>
      </c>
    </row>
    <row r="20" spans="1:14" x14ac:dyDescent="0.35">
      <c r="A20" t="s">
        <v>59</v>
      </c>
      <c r="B20" t="s">
        <v>60</v>
      </c>
      <c r="C20" t="s">
        <v>41</v>
      </c>
      <c r="D20">
        <v>2013</v>
      </c>
      <c r="E20">
        <v>124</v>
      </c>
      <c r="F20">
        <v>78</v>
      </c>
      <c r="G20">
        <v>53</v>
      </c>
      <c r="H20">
        <v>-6</v>
      </c>
      <c r="I20">
        <v>16</v>
      </c>
      <c r="J20">
        <v>64</v>
      </c>
      <c r="K20">
        <v>247</v>
      </c>
      <c r="L20">
        <v>0</v>
      </c>
      <c r="M20">
        <v>5</v>
      </c>
      <c r="N20">
        <v>84</v>
      </c>
    </row>
    <row r="21" spans="1:14" x14ac:dyDescent="0.35">
      <c r="A21" t="s">
        <v>61</v>
      </c>
      <c r="B21" t="s">
        <v>62</v>
      </c>
      <c r="C21" t="s">
        <v>63</v>
      </c>
      <c r="D21">
        <v>2020</v>
      </c>
      <c r="E21">
        <v>90</v>
      </c>
      <c r="F21">
        <v>69</v>
      </c>
      <c r="G21">
        <v>75</v>
      </c>
      <c r="H21">
        <v>-8</v>
      </c>
      <c r="I21">
        <v>10</v>
      </c>
      <c r="J21">
        <v>50</v>
      </c>
      <c r="K21">
        <v>182</v>
      </c>
      <c r="L21">
        <v>25</v>
      </c>
      <c r="M21">
        <v>16</v>
      </c>
      <c r="N21">
        <v>84</v>
      </c>
    </row>
    <row r="22" spans="1:14" x14ac:dyDescent="0.35">
      <c r="A22" t="s">
        <v>64</v>
      </c>
      <c r="B22" t="s">
        <v>34</v>
      </c>
      <c r="C22" t="s">
        <v>35</v>
      </c>
      <c r="D22">
        <v>2018</v>
      </c>
      <c r="E22">
        <v>160</v>
      </c>
      <c r="F22">
        <v>52</v>
      </c>
      <c r="G22">
        <v>59</v>
      </c>
      <c r="H22">
        <v>-6</v>
      </c>
      <c r="I22">
        <v>13</v>
      </c>
      <c r="J22">
        <v>13</v>
      </c>
      <c r="K22">
        <v>218</v>
      </c>
      <c r="L22">
        <v>12</v>
      </c>
      <c r="M22">
        <v>7</v>
      </c>
      <c r="N22">
        <v>83</v>
      </c>
    </row>
    <row r="23" spans="1:14" x14ac:dyDescent="0.35">
      <c r="A23" t="s">
        <v>65</v>
      </c>
      <c r="B23" t="s">
        <v>26</v>
      </c>
      <c r="C23" t="s">
        <v>19</v>
      </c>
      <c r="D23">
        <v>2014</v>
      </c>
      <c r="E23">
        <v>108</v>
      </c>
      <c r="F23">
        <v>38</v>
      </c>
      <c r="G23">
        <v>61</v>
      </c>
      <c r="H23">
        <v>-10</v>
      </c>
      <c r="I23">
        <v>10</v>
      </c>
      <c r="J23">
        <v>20</v>
      </c>
      <c r="K23">
        <v>259</v>
      </c>
      <c r="L23">
        <v>61</v>
      </c>
      <c r="M23">
        <v>5</v>
      </c>
      <c r="N23">
        <v>83</v>
      </c>
    </row>
    <row r="24" spans="1:14" x14ac:dyDescent="0.35">
      <c r="A24" t="s">
        <v>66</v>
      </c>
      <c r="B24" t="s">
        <v>54</v>
      </c>
      <c r="C24" t="s">
        <v>55</v>
      </c>
      <c r="D24">
        <v>2018</v>
      </c>
      <c r="E24">
        <v>75</v>
      </c>
      <c r="F24">
        <v>61</v>
      </c>
      <c r="G24">
        <v>74</v>
      </c>
      <c r="H24">
        <v>-5</v>
      </c>
      <c r="I24">
        <v>12</v>
      </c>
      <c r="J24">
        <v>47</v>
      </c>
      <c r="K24">
        <v>167</v>
      </c>
      <c r="L24">
        <v>26</v>
      </c>
      <c r="M24">
        <v>14</v>
      </c>
      <c r="N24">
        <v>83</v>
      </c>
    </row>
    <row r="25" spans="1:14" x14ac:dyDescent="0.35">
      <c r="A25" t="s">
        <v>67</v>
      </c>
      <c r="B25" t="s">
        <v>57</v>
      </c>
      <c r="C25" t="s">
        <v>58</v>
      </c>
      <c r="D25">
        <v>2018</v>
      </c>
      <c r="E25">
        <v>155</v>
      </c>
      <c r="F25">
        <v>73</v>
      </c>
      <c r="G25">
        <v>83</v>
      </c>
      <c r="H25">
        <v>-4</v>
      </c>
      <c r="I25">
        <v>12</v>
      </c>
      <c r="J25">
        <v>45</v>
      </c>
      <c r="K25">
        <v>313</v>
      </c>
      <c r="L25">
        <v>1</v>
      </c>
      <c r="M25">
        <v>22</v>
      </c>
      <c r="N25">
        <v>83</v>
      </c>
    </row>
    <row r="26" spans="1:14" x14ac:dyDescent="0.35">
      <c r="A26" t="s">
        <v>68</v>
      </c>
      <c r="B26" t="s">
        <v>69</v>
      </c>
      <c r="C26" t="s">
        <v>29</v>
      </c>
      <c r="D26">
        <v>2015</v>
      </c>
      <c r="E26">
        <v>170</v>
      </c>
      <c r="F26">
        <v>64</v>
      </c>
      <c r="G26">
        <v>73</v>
      </c>
      <c r="H26">
        <v>-6</v>
      </c>
      <c r="I26">
        <v>6</v>
      </c>
      <c r="J26">
        <v>65</v>
      </c>
      <c r="K26">
        <v>202</v>
      </c>
      <c r="L26">
        <v>5</v>
      </c>
      <c r="M26">
        <v>14</v>
      </c>
      <c r="N26">
        <v>83</v>
      </c>
    </row>
    <row r="27" spans="1:14" x14ac:dyDescent="0.35">
      <c r="A27" t="s">
        <v>70</v>
      </c>
      <c r="B27" t="s">
        <v>71</v>
      </c>
      <c r="C27" t="s">
        <v>72</v>
      </c>
      <c r="D27">
        <v>2019</v>
      </c>
      <c r="E27">
        <v>122</v>
      </c>
      <c r="F27">
        <v>72</v>
      </c>
      <c r="G27">
        <v>77</v>
      </c>
      <c r="H27">
        <v>-5</v>
      </c>
      <c r="I27">
        <v>35</v>
      </c>
      <c r="J27">
        <v>90</v>
      </c>
      <c r="K27">
        <v>177</v>
      </c>
      <c r="L27">
        <v>2</v>
      </c>
      <c r="M27">
        <v>5</v>
      </c>
      <c r="N27">
        <v>83</v>
      </c>
    </row>
    <row r="28" spans="1:14" x14ac:dyDescent="0.35">
      <c r="A28" t="s">
        <v>73</v>
      </c>
      <c r="B28" t="s">
        <v>74</v>
      </c>
      <c r="C28" t="s">
        <v>72</v>
      </c>
      <c r="D28">
        <v>2019</v>
      </c>
      <c r="E28">
        <v>117</v>
      </c>
      <c r="F28">
        <v>59</v>
      </c>
      <c r="G28">
        <v>90</v>
      </c>
      <c r="H28">
        <v>-7</v>
      </c>
      <c r="I28">
        <v>79</v>
      </c>
      <c r="J28">
        <v>64</v>
      </c>
      <c r="K28">
        <v>197</v>
      </c>
      <c r="L28">
        <v>10</v>
      </c>
      <c r="M28">
        <v>6</v>
      </c>
      <c r="N28">
        <v>83</v>
      </c>
    </row>
    <row r="29" spans="1:14" x14ac:dyDescent="0.35">
      <c r="A29" t="s">
        <v>75</v>
      </c>
      <c r="B29" t="s">
        <v>15</v>
      </c>
      <c r="C29" t="s">
        <v>16</v>
      </c>
      <c r="D29">
        <v>2015</v>
      </c>
      <c r="E29">
        <v>113</v>
      </c>
      <c r="F29">
        <v>56</v>
      </c>
      <c r="G29">
        <v>59</v>
      </c>
      <c r="H29">
        <v>-7</v>
      </c>
      <c r="I29">
        <v>14</v>
      </c>
      <c r="J29">
        <v>14</v>
      </c>
      <c r="K29">
        <v>242</v>
      </c>
      <c r="L29">
        <v>7</v>
      </c>
      <c r="M29">
        <v>5</v>
      </c>
      <c r="N29">
        <v>83</v>
      </c>
    </row>
    <row r="30" spans="1:14" x14ac:dyDescent="0.35">
      <c r="A30" t="s">
        <v>76</v>
      </c>
      <c r="B30" t="s">
        <v>34</v>
      </c>
      <c r="C30" t="s">
        <v>35</v>
      </c>
      <c r="D30">
        <v>2018</v>
      </c>
      <c r="E30">
        <v>90</v>
      </c>
      <c r="F30">
        <v>48</v>
      </c>
      <c r="G30">
        <v>76</v>
      </c>
      <c r="H30">
        <v>-6</v>
      </c>
      <c r="I30">
        <v>7</v>
      </c>
      <c r="J30">
        <v>91</v>
      </c>
      <c r="K30">
        <v>158</v>
      </c>
      <c r="L30">
        <v>56</v>
      </c>
      <c r="M30">
        <v>5</v>
      </c>
      <c r="N30">
        <v>82</v>
      </c>
    </row>
    <row r="31" spans="1:14" x14ac:dyDescent="0.35">
      <c r="A31" t="s">
        <v>77</v>
      </c>
      <c r="B31" t="s">
        <v>26</v>
      </c>
      <c r="C31" t="s">
        <v>19</v>
      </c>
      <c r="D31">
        <v>2014</v>
      </c>
      <c r="E31">
        <v>79</v>
      </c>
      <c r="F31">
        <v>45</v>
      </c>
      <c r="G31">
        <v>78</v>
      </c>
      <c r="H31">
        <v>-6</v>
      </c>
      <c r="I31">
        <v>18</v>
      </c>
      <c r="J31">
        <v>59</v>
      </c>
      <c r="K31">
        <v>282</v>
      </c>
      <c r="L31">
        <v>47</v>
      </c>
      <c r="M31">
        <v>3</v>
      </c>
      <c r="N31">
        <v>82</v>
      </c>
    </row>
    <row r="32" spans="1:14" x14ac:dyDescent="0.35">
      <c r="A32" t="s">
        <v>78</v>
      </c>
      <c r="B32" t="s">
        <v>15</v>
      </c>
      <c r="C32" t="s">
        <v>16</v>
      </c>
      <c r="D32">
        <v>2016</v>
      </c>
      <c r="E32">
        <v>186</v>
      </c>
      <c r="F32">
        <v>59</v>
      </c>
      <c r="G32">
        <v>68</v>
      </c>
      <c r="H32">
        <v>-7</v>
      </c>
      <c r="I32">
        <v>14</v>
      </c>
      <c r="J32">
        <v>49</v>
      </c>
      <c r="K32">
        <v>230</v>
      </c>
      <c r="L32">
        <v>14</v>
      </c>
      <c r="M32">
        <v>28</v>
      </c>
      <c r="N32">
        <v>82</v>
      </c>
    </row>
    <row r="33" spans="1:14" x14ac:dyDescent="0.35">
      <c r="A33" t="s">
        <v>79</v>
      </c>
      <c r="B33" t="s">
        <v>80</v>
      </c>
      <c r="C33" t="s">
        <v>81</v>
      </c>
      <c r="D33">
        <v>2015</v>
      </c>
      <c r="E33">
        <v>100</v>
      </c>
      <c r="F33">
        <v>38</v>
      </c>
      <c r="G33">
        <v>61</v>
      </c>
      <c r="H33">
        <v>-10</v>
      </c>
      <c r="I33">
        <v>28</v>
      </c>
      <c r="J33">
        <v>52</v>
      </c>
      <c r="K33">
        <v>234</v>
      </c>
      <c r="L33">
        <v>84</v>
      </c>
      <c r="M33">
        <v>44</v>
      </c>
      <c r="N33">
        <v>82</v>
      </c>
    </row>
    <row r="34" spans="1:14" x14ac:dyDescent="0.35">
      <c r="A34" t="s">
        <v>82</v>
      </c>
      <c r="B34" t="s">
        <v>40</v>
      </c>
      <c r="C34" t="s">
        <v>41</v>
      </c>
      <c r="D34">
        <v>2017</v>
      </c>
      <c r="E34">
        <v>103</v>
      </c>
      <c r="F34">
        <v>64</v>
      </c>
      <c r="G34">
        <v>62</v>
      </c>
      <c r="H34">
        <v>-7</v>
      </c>
      <c r="I34">
        <v>16</v>
      </c>
      <c r="J34">
        <v>45</v>
      </c>
      <c r="K34">
        <v>247</v>
      </c>
      <c r="L34">
        <v>5</v>
      </c>
      <c r="M34">
        <v>3</v>
      </c>
      <c r="N34">
        <v>82</v>
      </c>
    </row>
    <row r="35" spans="1:14" x14ac:dyDescent="0.35">
      <c r="A35" t="s">
        <v>83</v>
      </c>
      <c r="B35" t="s">
        <v>84</v>
      </c>
      <c r="C35" t="s">
        <v>41</v>
      </c>
      <c r="D35">
        <v>2018</v>
      </c>
      <c r="E35">
        <v>96</v>
      </c>
      <c r="F35">
        <v>39</v>
      </c>
      <c r="G35">
        <v>57</v>
      </c>
      <c r="H35">
        <v>-6</v>
      </c>
      <c r="I35">
        <v>23</v>
      </c>
      <c r="J35">
        <v>32</v>
      </c>
      <c r="K35">
        <v>216</v>
      </c>
      <c r="L35">
        <v>37</v>
      </c>
      <c r="M35">
        <v>3</v>
      </c>
      <c r="N35">
        <v>82</v>
      </c>
    </row>
    <row r="36" spans="1:14" x14ac:dyDescent="0.35">
      <c r="A36" t="s">
        <v>85</v>
      </c>
      <c r="B36" t="s">
        <v>28</v>
      </c>
      <c r="C36" t="s">
        <v>29</v>
      </c>
      <c r="D36">
        <v>2017</v>
      </c>
      <c r="E36">
        <v>168</v>
      </c>
      <c r="F36">
        <v>82</v>
      </c>
      <c r="G36">
        <v>61</v>
      </c>
      <c r="H36">
        <v>-5</v>
      </c>
      <c r="I36">
        <v>15</v>
      </c>
      <c r="J36">
        <v>29</v>
      </c>
      <c r="K36">
        <v>187</v>
      </c>
      <c r="L36">
        <v>1</v>
      </c>
      <c r="M36">
        <v>4</v>
      </c>
      <c r="N36">
        <v>82</v>
      </c>
    </row>
    <row r="37" spans="1:14" x14ac:dyDescent="0.35">
      <c r="A37" t="s">
        <v>86</v>
      </c>
      <c r="B37" t="s">
        <v>87</v>
      </c>
      <c r="C37" t="s">
        <v>72</v>
      </c>
      <c r="D37">
        <v>2017</v>
      </c>
      <c r="E37">
        <v>155</v>
      </c>
      <c r="F37">
        <v>75</v>
      </c>
      <c r="G37">
        <v>73</v>
      </c>
      <c r="H37">
        <v>-6</v>
      </c>
      <c r="I37">
        <v>11</v>
      </c>
      <c r="J37">
        <v>40</v>
      </c>
      <c r="K37">
        <v>183</v>
      </c>
      <c r="L37">
        <v>0</v>
      </c>
      <c r="M37">
        <v>23</v>
      </c>
      <c r="N37">
        <v>82</v>
      </c>
    </row>
    <row r="38" spans="1:14" x14ac:dyDescent="0.35">
      <c r="A38" t="s">
        <v>88</v>
      </c>
      <c r="B38" t="s">
        <v>89</v>
      </c>
      <c r="C38" t="s">
        <v>90</v>
      </c>
      <c r="D38">
        <v>2014</v>
      </c>
      <c r="E38">
        <v>129</v>
      </c>
      <c r="F38">
        <v>66</v>
      </c>
      <c r="G38">
        <v>57</v>
      </c>
      <c r="H38">
        <v>-5</v>
      </c>
      <c r="I38">
        <v>12</v>
      </c>
      <c r="J38">
        <v>44</v>
      </c>
      <c r="K38">
        <v>242</v>
      </c>
      <c r="L38">
        <v>63</v>
      </c>
      <c r="M38">
        <v>5</v>
      </c>
      <c r="N38">
        <v>82</v>
      </c>
    </row>
    <row r="39" spans="1:14" x14ac:dyDescent="0.35">
      <c r="A39" t="s">
        <v>91</v>
      </c>
      <c r="B39" t="s">
        <v>92</v>
      </c>
      <c r="C39" t="s">
        <v>93</v>
      </c>
      <c r="D39">
        <v>2018</v>
      </c>
      <c r="E39">
        <v>100</v>
      </c>
      <c r="F39">
        <v>79</v>
      </c>
      <c r="G39">
        <v>69</v>
      </c>
      <c r="H39">
        <v>-3</v>
      </c>
      <c r="I39">
        <v>17</v>
      </c>
      <c r="J39">
        <v>67</v>
      </c>
      <c r="K39">
        <v>214</v>
      </c>
      <c r="L39">
        <v>19</v>
      </c>
      <c r="M39">
        <v>5</v>
      </c>
      <c r="N39">
        <v>82</v>
      </c>
    </row>
    <row r="40" spans="1:14" x14ac:dyDescent="0.35">
      <c r="A40" t="s">
        <v>94</v>
      </c>
      <c r="B40" t="s">
        <v>52</v>
      </c>
      <c r="C40" t="s">
        <v>41</v>
      </c>
      <c r="D40">
        <v>2019</v>
      </c>
      <c r="E40">
        <v>107</v>
      </c>
      <c r="F40">
        <v>65</v>
      </c>
      <c r="G40">
        <v>72</v>
      </c>
      <c r="H40">
        <v>-6</v>
      </c>
      <c r="I40">
        <v>10</v>
      </c>
      <c r="J40">
        <v>41</v>
      </c>
      <c r="K40">
        <v>207</v>
      </c>
      <c r="L40">
        <v>23</v>
      </c>
      <c r="M40">
        <v>7</v>
      </c>
      <c r="N40">
        <v>82</v>
      </c>
    </row>
    <row r="41" spans="1:14" x14ac:dyDescent="0.35">
      <c r="A41" t="s">
        <v>95</v>
      </c>
      <c r="B41" t="s">
        <v>96</v>
      </c>
      <c r="C41" t="s">
        <v>41</v>
      </c>
      <c r="D41">
        <v>2013</v>
      </c>
      <c r="E41">
        <v>122</v>
      </c>
      <c r="F41">
        <v>71</v>
      </c>
      <c r="G41">
        <v>66</v>
      </c>
      <c r="H41">
        <v>-5</v>
      </c>
      <c r="I41">
        <v>12</v>
      </c>
      <c r="J41">
        <v>48</v>
      </c>
      <c r="K41">
        <v>257</v>
      </c>
      <c r="L41">
        <v>7</v>
      </c>
      <c r="M41">
        <v>4</v>
      </c>
      <c r="N41">
        <v>82</v>
      </c>
    </row>
    <row r="42" spans="1:14" x14ac:dyDescent="0.35">
      <c r="A42" t="s">
        <v>97</v>
      </c>
      <c r="B42" t="s">
        <v>98</v>
      </c>
      <c r="C42" t="s">
        <v>99</v>
      </c>
      <c r="D42">
        <v>2012</v>
      </c>
      <c r="E42">
        <v>146</v>
      </c>
      <c r="F42">
        <v>92</v>
      </c>
      <c r="G42">
        <v>64</v>
      </c>
      <c r="H42">
        <v>-4</v>
      </c>
      <c r="I42">
        <v>9</v>
      </c>
      <c r="J42">
        <v>85</v>
      </c>
      <c r="K42">
        <v>258</v>
      </c>
      <c r="L42">
        <v>3</v>
      </c>
      <c r="M42">
        <v>8</v>
      </c>
      <c r="N42">
        <v>82</v>
      </c>
    </row>
    <row r="43" spans="1:14" x14ac:dyDescent="0.35">
      <c r="A43" t="s">
        <v>100</v>
      </c>
      <c r="B43" t="s">
        <v>101</v>
      </c>
      <c r="C43" t="s">
        <v>81</v>
      </c>
      <c r="D43">
        <v>2019</v>
      </c>
      <c r="E43">
        <v>117</v>
      </c>
      <c r="F43">
        <v>54</v>
      </c>
      <c r="G43">
        <v>76</v>
      </c>
      <c r="H43">
        <v>-6</v>
      </c>
      <c r="I43">
        <v>9</v>
      </c>
      <c r="J43">
        <v>75</v>
      </c>
      <c r="K43">
        <v>191</v>
      </c>
      <c r="L43">
        <v>4</v>
      </c>
      <c r="M43">
        <v>3</v>
      </c>
      <c r="N43">
        <v>81</v>
      </c>
    </row>
    <row r="44" spans="1:14" x14ac:dyDescent="0.35">
      <c r="A44" t="s">
        <v>102</v>
      </c>
      <c r="B44" t="s">
        <v>103</v>
      </c>
      <c r="C44" t="s">
        <v>104</v>
      </c>
      <c r="D44">
        <v>2018</v>
      </c>
      <c r="E44">
        <v>77</v>
      </c>
      <c r="F44">
        <v>45</v>
      </c>
      <c r="G44">
        <v>75</v>
      </c>
      <c r="H44">
        <v>-9</v>
      </c>
      <c r="I44">
        <v>55</v>
      </c>
      <c r="J44">
        <v>36</v>
      </c>
      <c r="K44">
        <v>199</v>
      </c>
      <c r="L44">
        <v>3</v>
      </c>
      <c r="M44">
        <v>11</v>
      </c>
      <c r="N44">
        <v>81</v>
      </c>
    </row>
    <row r="45" spans="1:14" x14ac:dyDescent="0.35">
      <c r="A45" t="s">
        <v>105</v>
      </c>
      <c r="B45" t="s">
        <v>106</v>
      </c>
      <c r="C45" t="s">
        <v>41</v>
      </c>
      <c r="D45">
        <v>2020</v>
      </c>
      <c r="E45">
        <v>124</v>
      </c>
      <c r="F45">
        <v>79</v>
      </c>
      <c r="G45">
        <v>79</v>
      </c>
      <c r="H45">
        <v>-5</v>
      </c>
      <c r="I45">
        <v>10</v>
      </c>
      <c r="J45">
        <v>68</v>
      </c>
      <c r="K45">
        <v>183</v>
      </c>
      <c r="L45">
        <v>1</v>
      </c>
      <c r="M45">
        <v>8</v>
      </c>
      <c r="N45">
        <v>81</v>
      </c>
    </row>
    <row r="46" spans="1:14" x14ac:dyDescent="0.35">
      <c r="A46" t="s">
        <v>107</v>
      </c>
      <c r="B46" t="s">
        <v>108</v>
      </c>
      <c r="C46" t="s">
        <v>109</v>
      </c>
      <c r="D46">
        <v>1975</v>
      </c>
      <c r="E46">
        <v>71</v>
      </c>
      <c r="F46">
        <v>40</v>
      </c>
      <c r="G46">
        <v>41</v>
      </c>
      <c r="H46">
        <v>-10</v>
      </c>
      <c r="I46">
        <v>30</v>
      </c>
      <c r="J46">
        <v>22</v>
      </c>
      <c r="K46">
        <v>354</v>
      </c>
      <c r="L46">
        <v>27</v>
      </c>
      <c r="M46">
        <v>5</v>
      </c>
      <c r="N46">
        <v>81</v>
      </c>
    </row>
    <row r="47" spans="1:14" x14ac:dyDescent="0.35">
      <c r="A47" t="s">
        <v>110</v>
      </c>
      <c r="B47" t="s">
        <v>111</v>
      </c>
      <c r="C47" t="s">
        <v>112</v>
      </c>
      <c r="D47">
        <v>2017</v>
      </c>
      <c r="E47">
        <v>150</v>
      </c>
      <c r="F47">
        <v>62</v>
      </c>
      <c r="G47">
        <v>91</v>
      </c>
      <c r="H47">
        <v>-7</v>
      </c>
      <c r="I47">
        <v>10</v>
      </c>
      <c r="J47">
        <v>42</v>
      </c>
      <c r="K47">
        <v>177</v>
      </c>
      <c r="L47">
        <v>0</v>
      </c>
      <c r="M47">
        <v>10</v>
      </c>
      <c r="N47">
        <v>81</v>
      </c>
    </row>
    <row r="48" spans="1:14" x14ac:dyDescent="0.35">
      <c r="A48" t="s">
        <v>113</v>
      </c>
      <c r="B48" t="s">
        <v>114</v>
      </c>
      <c r="C48" t="s">
        <v>41</v>
      </c>
      <c r="D48">
        <v>2016</v>
      </c>
      <c r="E48">
        <v>100</v>
      </c>
      <c r="F48">
        <v>72</v>
      </c>
      <c r="G48">
        <v>65</v>
      </c>
      <c r="H48">
        <v>-5</v>
      </c>
      <c r="I48">
        <v>14</v>
      </c>
      <c r="J48">
        <v>16</v>
      </c>
      <c r="K48">
        <v>206</v>
      </c>
      <c r="L48">
        <v>9</v>
      </c>
      <c r="M48">
        <v>3</v>
      </c>
      <c r="N48">
        <v>81</v>
      </c>
    </row>
    <row r="49" spans="1:14" x14ac:dyDescent="0.35">
      <c r="A49" t="s">
        <v>115</v>
      </c>
      <c r="B49" t="s">
        <v>34</v>
      </c>
      <c r="C49" t="s">
        <v>35</v>
      </c>
      <c r="D49">
        <v>2016</v>
      </c>
      <c r="E49">
        <v>123</v>
      </c>
      <c r="F49">
        <v>80</v>
      </c>
      <c r="G49">
        <v>63</v>
      </c>
      <c r="H49">
        <v>-4</v>
      </c>
      <c r="I49">
        <v>25</v>
      </c>
      <c r="J49">
        <v>49</v>
      </c>
      <c r="K49">
        <v>220</v>
      </c>
      <c r="L49">
        <v>22</v>
      </c>
      <c r="M49">
        <v>4</v>
      </c>
      <c r="N49">
        <v>81</v>
      </c>
    </row>
    <row r="50" spans="1:14" x14ac:dyDescent="0.35">
      <c r="A50" t="s">
        <v>116</v>
      </c>
      <c r="B50" t="s">
        <v>117</v>
      </c>
      <c r="C50" t="s">
        <v>41</v>
      </c>
      <c r="D50">
        <v>2014</v>
      </c>
      <c r="E50">
        <v>84</v>
      </c>
      <c r="F50">
        <v>42</v>
      </c>
      <c r="G50">
        <v>42</v>
      </c>
      <c r="H50">
        <v>-6</v>
      </c>
      <c r="I50">
        <v>11</v>
      </c>
      <c r="J50">
        <v>18</v>
      </c>
      <c r="K50">
        <v>173</v>
      </c>
      <c r="L50">
        <v>59</v>
      </c>
      <c r="M50">
        <v>4</v>
      </c>
      <c r="N50">
        <v>81</v>
      </c>
    </row>
    <row r="51" spans="1:14" x14ac:dyDescent="0.35">
      <c r="A51" t="s">
        <v>118</v>
      </c>
      <c r="B51" t="s">
        <v>101</v>
      </c>
      <c r="C51" t="s">
        <v>81</v>
      </c>
      <c r="D51">
        <v>2017</v>
      </c>
      <c r="E51">
        <v>83</v>
      </c>
      <c r="F51">
        <v>82</v>
      </c>
      <c r="G51">
        <v>44</v>
      </c>
      <c r="H51">
        <v>-4</v>
      </c>
      <c r="I51">
        <v>11</v>
      </c>
      <c r="J51">
        <v>75</v>
      </c>
      <c r="K51">
        <v>188</v>
      </c>
      <c r="L51">
        <v>11</v>
      </c>
      <c r="M51">
        <v>34</v>
      </c>
      <c r="N51">
        <v>81</v>
      </c>
    </row>
    <row r="52" spans="1:14" x14ac:dyDescent="0.35">
      <c r="A52" t="s">
        <v>119</v>
      </c>
      <c r="B52" t="s">
        <v>120</v>
      </c>
      <c r="C52" t="s">
        <v>41</v>
      </c>
      <c r="D52">
        <v>2015</v>
      </c>
      <c r="E52">
        <v>115</v>
      </c>
      <c r="F52">
        <v>61</v>
      </c>
      <c r="G52">
        <v>86</v>
      </c>
      <c r="H52">
        <v>-7</v>
      </c>
      <c r="I52">
        <v>3</v>
      </c>
      <c r="J52">
        <v>93</v>
      </c>
      <c r="K52">
        <v>270</v>
      </c>
      <c r="L52">
        <v>1</v>
      </c>
      <c r="M52">
        <v>8</v>
      </c>
      <c r="N52">
        <v>81</v>
      </c>
    </row>
    <row r="53" spans="1:14" x14ac:dyDescent="0.35">
      <c r="A53" t="s">
        <v>121</v>
      </c>
      <c r="B53" t="s">
        <v>122</v>
      </c>
      <c r="C53" t="s">
        <v>41</v>
      </c>
      <c r="D53">
        <v>2018</v>
      </c>
      <c r="E53">
        <v>92</v>
      </c>
      <c r="F53">
        <v>51</v>
      </c>
      <c r="G53">
        <v>75</v>
      </c>
      <c r="H53">
        <v>-8</v>
      </c>
      <c r="I53">
        <v>10</v>
      </c>
      <c r="J53">
        <v>42</v>
      </c>
      <c r="K53">
        <v>197</v>
      </c>
      <c r="L53">
        <v>54</v>
      </c>
      <c r="M53">
        <v>25</v>
      </c>
      <c r="N53">
        <v>81</v>
      </c>
    </row>
    <row r="54" spans="1:14" x14ac:dyDescent="0.35">
      <c r="A54" t="s">
        <v>123</v>
      </c>
      <c r="B54" t="s">
        <v>31</v>
      </c>
      <c r="C54" t="s">
        <v>32</v>
      </c>
      <c r="D54">
        <v>2019</v>
      </c>
      <c r="E54">
        <v>83</v>
      </c>
      <c r="F54">
        <v>11</v>
      </c>
      <c r="G54">
        <v>37</v>
      </c>
      <c r="H54">
        <v>-14</v>
      </c>
      <c r="I54">
        <v>9</v>
      </c>
      <c r="J54">
        <v>20</v>
      </c>
      <c r="K54">
        <v>196</v>
      </c>
      <c r="L54">
        <v>98</v>
      </c>
      <c r="M54">
        <v>10</v>
      </c>
      <c r="N54">
        <v>81</v>
      </c>
    </row>
    <row r="55" spans="1:14" x14ac:dyDescent="0.35">
      <c r="A55" t="s">
        <v>124</v>
      </c>
      <c r="B55" t="s">
        <v>125</v>
      </c>
      <c r="C55" t="s">
        <v>126</v>
      </c>
      <c r="D55">
        <v>2004</v>
      </c>
      <c r="E55">
        <v>148</v>
      </c>
      <c r="F55">
        <v>91</v>
      </c>
      <c r="G55">
        <v>35</v>
      </c>
      <c r="H55">
        <v>-5</v>
      </c>
      <c r="I55">
        <v>10</v>
      </c>
      <c r="J55">
        <v>24</v>
      </c>
      <c r="K55">
        <v>223</v>
      </c>
      <c r="L55">
        <v>0</v>
      </c>
      <c r="M55">
        <v>7</v>
      </c>
      <c r="N55">
        <v>81</v>
      </c>
    </row>
    <row r="56" spans="1:14" x14ac:dyDescent="0.35">
      <c r="A56" t="s">
        <v>127</v>
      </c>
      <c r="B56" t="s">
        <v>128</v>
      </c>
      <c r="C56" t="s">
        <v>129</v>
      </c>
      <c r="D56">
        <v>2019</v>
      </c>
      <c r="E56">
        <v>98</v>
      </c>
      <c r="F56">
        <v>59</v>
      </c>
      <c r="G56">
        <v>82</v>
      </c>
      <c r="H56">
        <v>-6</v>
      </c>
      <c r="I56">
        <v>15</v>
      </c>
      <c r="J56">
        <v>51</v>
      </c>
      <c r="K56">
        <v>209</v>
      </c>
      <c r="L56">
        <v>69</v>
      </c>
      <c r="M56">
        <v>9</v>
      </c>
      <c r="N56">
        <v>80</v>
      </c>
    </row>
    <row r="57" spans="1:14" x14ac:dyDescent="0.35">
      <c r="A57" t="s">
        <v>130</v>
      </c>
      <c r="B57" t="s">
        <v>131</v>
      </c>
      <c r="C57" t="s">
        <v>41</v>
      </c>
      <c r="D57">
        <v>2018</v>
      </c>
      <c r="E57">
        <v>105</v>
      </c>
      <c r="F57">
        <v>52</v>
      </c>
      <c r="G57">
        <v>77</v>
      </c>
      <c r="H57">
        <v>-4</v>
      </c>
      <c r="I57">
        <v>13</v>
      </c>
      <c r="J57">
        <v>39</v>
      </c>
      <c r="K57">
        <v>217</v>
      </c>
      <c r="L57">
        <v>18</v>
      </c>
      <c r="M57">
        <v>3</v>
      </c>
      <c r="N57">
        <v>80</v>
      </c>
    </row>
    <row r="58" spans="1:14" x14ac:dyDescent="0.35">
      <c r="A58" t="s">
        <v>132</v>
      </c>
      <c r="B58" t="s">
        <v>34</v>
      </c>
      <c r="C58" t="s">
        <v>35</v>
      </c>
      <c r="D58">
        <v>2018</v>
      </c>
      <c r="E58">
        <v>145</v>
      </c>
      <c r="F58">
        <v>58</v>
      </c>
      <c r="G58">
        <v>68</v>
      </c>
      <c r="H58">
        <v>-6</v>
      </c>
      <c r="I58">
        <v>14</v>
      </c>
      <c r="J58">
        <v>34</v>
      </c>
      <c r="K58">
        <v>231</v>
      </c>
      <c r="L58">
        <v>33</v>
      </c>
      <c r="M58">
        <v>4</v>
      </c>
      <c r="N58">
        <v>80</v>
      </c>
    </row>
    <row r="59" spans="1:14" x14ac:dyDescent="0.35">
      <c r="A59" t="s">
        <v>133</v>
      </c>
      <c r="B59" t="s">
        <v>26</v>
      </c>
      <c r="C59" t="s">
        <v>19</v>
      </c>
      <c r="D59">
        <v>2019</v>
      </c>
      <c r="E59">
        <v>102</v>
      </c>
      <c r="F59">
        <v>68</v>
      </c>
      <c r="G59">
        <v>80</v>
      </c>
      <c r="H59">
        <v>-5</v>
      </c>
      <c r="I59">
        <v>9</v>
      </c>
      <c r="J59">
        <v>84</v>
      </c>
      <c r="K59">
        <v>220</v>
      </c>
      <c r="L59">
        <v>9</v>
      </c>
      <c r="M59">
        <v>4</v>
      </c>
      <c r="N59">
        <v>80</v>
      </c>
    </row>
    <row r="60" spans="1:14" x14ac:dyDescent="0.35">
      <c r="A60" t="s">
        <v>134</v>
      </c>
      <c r="B60" t="s">
        <v>135</v>
      </c>
      <c r="C60" t="s">
        <v>136</v>
      </c>
      <c r="D60">
        <v>2017</v>
      </c>
      <c r="E60">
        <v>98</v>
      </c>
      <c r="F60">
        <v>77</v>
      </c>
      <c r="G60">
        <v>73</v>
      </c>
      <c r="H60">
        <v>-5</v>
      </c>
      <c r="I60">
        <v>10</v>
      </c>
      <c r="J60">
        <v>73</v>
      </c>
      <c r="K60">
        <v>234</v>
      </c>
      <c r="L60">
        <v>3</v>
      </c>
      <c r="M60">
        <v>12</v>
      </c>
      <c r="N60">
        <v>80</v>
      </c>
    </row>
    <row r="61" spans="1:14" x14ac:dyDescent="0.35">
      <c r="A61" t="s">
        <v>137</v>
      </c>
      <c r="B61" t="s">
        <v>117</v>
      </c>
      <c r="C61" t="s">
        <v>41</v>
      </c>
      <c r="D61">
        <v>2017</v>
      </c>
      <c r="E61">
        <v>92</v>
      </c>
      <c r="F61">
        <v>37</v>
      </c>
      <c r="G61">
        <v>68</v>
      </c>
      <c r="H61">
        <v>-8</v>
      </c>
      <c r="I61">
        <v>17</v>
      </c>
      <c r="J61">
        <v>48</v>
      </c>
      <c r="K61">
        <v>201</v>
      </c>
      <c r="L61">
        <v>64</v>
      </c>
      <c r="M61">
        <v>4</v>
      </c>
      <c r="N61">
        <v>80</v>
      </c>
    </row>
    <row r="62" spans="1:14" x14ac:dyDescent="0.35">
      <c r="A62" t="s">
        <v>138</v>
      </c>
      <c r="B62" t="s">
        <v>139</v>
      </c>
      <c r="C62" t="s">
        <v>140</v>
      </c>
      <c r="D62">
        <v>2014</v>
      </c>
      <c r="E62">
        <v>102</v>
      </c>
      <c r="F62">
        <v>73</v>
      </c>
      <c r="G62">
        <v>48</v>
      </c>
      <c r="H62">
        <v>-7</v>
      </c>
      <c r="I62">
        <v>15</v>
      </c>
      <c r="J62">
        <v>51</v>
      </c>
      <c r="K62">
        <v>204</v>
      </c>
      <c r="L62">
        <v>43</v>
      </c>
      <c r="M62">
        <v>4</v>
      </c>
      <c r="N62">
        <v>80</v>
      </c>
    </row>
    <row r="63" spans="1:14" x14ac:dyDescent="0.35">
      <c r="A63" t="s">
        <v>141</v>
      </c>
      <c r="B63" t="s">
        <v>142</v>
      </c>
      <c r="C63" t="s">
        <v>41</v>
      </c>
      <c r="D63">
        <v>2016</v>
      </c>
      <c r="E63">
        <v>134</v>
      </c>
      <c r="F63">
        <v>56</v>
      </c>
      <c r="G63">
        <v>85</v>
      </c>
      <c r="H63">
        <v>-5</v>
      </c>
      <c r="I63">
        <v>9</v>
      </c>
      <c r="J63">
        <v>86</v>
      </c>
      <c r="K63">
        <v>207</v>
      </c>
      <c r="L63">
        <v>1</v>
      </c>
      <c r="M63">
        <v>4</v>
      </c>
      <c r="N63">
        <v>80</v>
      </c>
    </row>
    <row r="64" spans="1:14" x14ac:dyDescent="0.35">
      <c r="A64" t="s">
        <v>143</v>
      </c>
      <c r="B64" t="s">
        <v>144</v>
      </c>
      <c r="C64" t="s">
        <v>41</v>
      </c>
      <c r="D64">
        <v>2015</v>
      </c>
      <c r="E64">
        <v>80</v>
      </c>
      <c r="F64">
        <v>48</v>
      </c>
      <c r="G64">
        <v>69</v>
      </c>
      <c r="H64">
        <v>-8</v>
      </c>
      <c r="I64">
        <v>6</v>
      </c>
      <c r="J64">
        <v>28</v>
      </c>
      <c r="K64">
        <v>230</v>
      </c>
      <c r="L64">
        <v>37</v>
      </c>
      <c r="M64">
        <v>8</v>
      </c>
      <c r="N64">
        <v>80</v>
      </c>
    </row>
    <row r="65" spans="1:14" x14ac:dyDescent="0.35">
      <c r="A65" t="s">
        <v>145</v>
      </c>
      <c r="B65" t="s">
        <v>146</v>
      </c>
      <c r="C65" t="s">
        <v>41</v>
      </c>
      <c r="D65">
        <v>2018</v>
      </c>
      <c r="E65">
        <v>124</v>
      </c>
      <c r="F65">
        <v>86</v>
      </c>
      <c r="G65">
        <v>79</v>
      </c>
      <c r="H65">
        <v>-3</v>
      </c>
      <c r="I65">
        <v>8</v>
      </c>
      <c r="J65">
        <v>59</v>
      </c>
      <c r="K65">
        <v>215</v>
      </c>
      <c r="L65">
        <v>4</v>
      </c>
      <c r="M65">
        <v>11</v>
      </c>
      <c r="N65">
        <v>80</v>
      </c>
    </row>
    <row r="66" spans="1:14" x14ac:dyDescent="0.35">
      <c r="A66" t="s">
        <v>147</v>
      </c>
      <c r="B66" t="s">
        <v>69</v>
      </c>
      <c r="C66" t="s">
        <v>29</v>
      </c>
      <c r="D66">
        <v>2016</v>
      </c>
      <c r="E66">
        <v>90</v>
      </c>
      <c r="F66">
        <v>40</v>
      </c>
      <c r="G66">
        <v>73</v>
      </c>
      <c r="H66">
        <v>-9</v>
      </c>
      <c r="I66">
        <v>11</v>
      </c>
      <c r="J66">
        <v>55</v>
      </c>
      <c r="K66">
        <v>196</v>
      </c>
      <c r="L66">
        <v>8</v>
      </c>
      <c r="M66">
        <v>3</v>
      </c>
      <c r="N66">
        <v>80</v>
      </c>
    </row>
    <row r="67" spans="1:14" x14ac:dyDescent="0.35">
      <c r="A67" t="s">
        <v>148</v>
      </c>
      <c r="B67" t="s">
        <v>28</v>
      </c>
      <c r="C67" t="s">
        <v>29</v>
      </c>
      <c r="D67">
        <v>2012</v>
      </c>
      <c r="E67">
        <v>90</v>
      </c>
      <c r="F67">
        <v>71</v>
      </c>
      <c r="G67">
        <v>51</v>
      </c>
      <c r="H67">
        <v>-3</v>
      </c>
      <c r="I67">
        <v>27</v>
      </c>
      <c r="J67">
        <v>43</v>
      </c>
      <c r="K67">
        <v>178</v>
      </c>
      <c r="L67">
        <v>19</v>
      </c>
      <c r="M67">
        <v>3</v>
      </c>
      <c r="N67">
        <v>80</v>
      </c>
    </row>
    <row r="68" spans="1:14" x14ac:dyDescent="0.35">
      <c r="A68" t="s">
        <v>149</v>
      </c>
      <c r="B68" t="s">
        <v>150</v>
      </c>
      <c r="C68" t="s">
        <v>151</v>
      </c>
      <c r="D68">
        <v>2018</v>
      </c>
      <c r="E68">
        <v>120</v>
      </c>
      <c r="F68">
        <v>85</v>
      </c>
      <c r="G68">
        <v>60</v>
      </c>
      <c r="H68">
        <v>-5</v>
      </c>
      <c r="I68">
        <v>12</v>
      </c>
      <c r="J68">
        <v>15</v>
      </c>
      <c r="K68">
        <v>203</v>
      </c>
      <c r="L68">
        <v>2</v>
      </c>
      <c r="M68">
        <v>46</v>
      </c>
      <c r="N68">
        <v>80</v>
      </c>
    </row>
    <row r="69" spans="1:14" x14ac:dyDescent="0.35">
      <c r="A69" t="s">
        <v>152</v>
      </c>
      <c r="B69" t="s">
        <v>153</v>
      </c>
      <c r="C69" t="s">
        <v>154</v>
      </c>
      <c r="D69">
        <v>2019</v>
      </c>
      <c r="E69">
        <v>136</v>
      </c>
      <c r="F69">
        <v>62</v>
      </c>
      <c r="G69">
        <v>88</v>
      </c>
      <c r="H69">
        <v>-6</v>
      </c>
      <c r="I69">
        <v>11</v>
      </c>
      <c r="J69">
        <v>64</v>
      </c>
      <c r="K69">
        <v>157</v>
      </c>
      <c r="L69">
        <v>5</v>
      </c>
      <c r="M69">
        <v>10</v>
      </c>
      <c r="N69">
        <v>80</v>
      </c>
    </row>
    <row r="70" spans="1:14" x14ac:dyDescent="0.35">
      <c r="A70" t="s">
        <v>155</v>
      </c>
      <c r="B70" t="s">
        <v>156</v>
      </c>
      <c r="C70" t="s">
        <v>157</v>
      </c>
      <c r="D70">
        <v>2008</v>
      </c>
      <c r="E70">
        <v>151</v>
      </c>
      <c r="F70">
        <v>46</v>
      </c>
      <c r="G70">
        <v>69</v>
      </c>
      <c r="H70">
        <v>-8</v>
      </c>
      <c r="I70">
        <v>11</v>
      </c>
      <c r="J70">
        <v>72</v>
      </c>
      <c r="K70">
        <v>242</v>
      </c>
      <c r="L70">
        <v>60</v>
      </c>
      <c r="M70">
        <v>5</v>
      </c>
      <c r="N70">
        <v>80</v>
      </c>
    </row>
    <row r="71" spans="1:14" x14ac:dyDescent="0.35">
      <c r="A71" t="s">
        <v>158</v>
      </c>
      <c r="B71" t="s">
        <v>159</v>
      </c>
      <c r="C71" t="s">
        <v>41</v>
      </c>
      <c r="D71">
        <v>2018</v>
      </c>
      <c r="E71">
        <v>100</v>
      </c>
      <c r="F71">
        <v>61</v>
      </c>
      <c r="G71">
        <v>78</v>
      </c>
      <c r="H71">
        <v>-5</v>
      </c>
      <c r="I71">
        <v>13</v>
      </c>
      <c r="J71">
        <v>80</v>
      </c>
      <c r="K71">
        <v>209</v>
      </c>
      <c r="L71">
        <v>11</v>
      </c>
      <c r="M71">
        <v>5</v>
      </c>
      <c r="N71">
        <v>80</v>
      </c>
    </row>
    <row r="72" spans="1:14" x14ac:dyDescent="0.35">
      <c r="A72" t="s">
        <v>160</v>
      </c>
      <c r="B72" t="s">
        <v>106</v>
      </c>
      <c r="C72" t="s">
        <v>41</v>
      </c>
      <c r="D72">
        <v>2017</v>
      </c>
      <c r="E72">
        <v>116</v>
      </c>
      <c r="F72">
        <v>70</v>
      </c>
      <c r="G72">
        <v>76</v>
      </c>
      <c r="H72">
        <v>-6</v>
      </c>
      <c r="I72">
        <v>15</v>
      </c>
      <c r="J72">
        <v>61</v>
      </c>
      <c r="K72">
        <v>209</v>
      </c>
      <c r="L72">
        <v>0</v>
      </c>
      <c r="M72">
        <v>7</v>
      </c>
      <c r="N72">
        <v>79</v>
      </c>
    </row>
    <row r="73" spans="1:14" x14ac:dyDescent="0.35">
      <c r="A73" t="s">
        <v>161</v>
      </c>
      <c r="B73" t="s">
        <v>80</v>
      </c>
      <c r="C73" t="s">
        <v>81</v>
      </c>
      <c r="D73">
        <v>2015</v>
      </c>
      <c r="E73">
        <v>100</v>
      </c>
      <c r="F73">
        <v>76</v>
      </c>
      <c r="G73">
        <v>65</v>
      </c>
      <c r="H73">
        <v>-4</v>
      </c>
      <c r="I73">
        <v>30</v>
      </c>
      <c r="J73">
        <v>41</v>
      </c>
      <c r="K73">
        <v>201</v>
      </c>
      <c r="L73">
        <v>8</v>
      </c>
      <c r="M73">
        <v>5</v>
      </c>
      <c r="N73">
        <v>79</v>
      </c>
    </row>
    <row r="74" spans="1:14" x14ac:dyDescent="0.35">
      <c r="A74" t="s">
        <v>162</v>
      </c>
      <c r="B74" t="s">
        <v>40</v>
      </c>
      <c r="C74" t="s">
        <v>41</v>
      </c>
      <c r="D74">
        <v>2016</v>
      </c>
      <c r="E74">
        <v>160</v>
      </c>
      <c r="F74">
        <v>87</v>
      </c>
      <c r="G74">
        <v>53</v>
      </c>
      <c r="H74">
        <v>-5</v>
      </c>
      <c r="I74">
        <v>14</v>
      </c>
      <c r="J74">
        <v>42</v>
      </c>
      <c r="K74">
        <v>208</v>
      </c>
      <c r="L74">
        <v>16</v>
      </c>
      <c r="M74">
        <v>17</v>
      </c>
      <c r="N74">
        <v>79</v>
      </c>
    </row>
    <row r="75" spans="1:14" x14ac:dyDescent="0.35">
      <c r="A75" t="s">
        <v>163</v>
      </c>
      <c r="B75" t="s">
        <v>164</v>
      </c>
      <c r="C75" t="s">
        <v>165</v>
      </c>
      <c r="D75">
        <v>2016</v>
      </c>
      <c r="E75">
        <v>120</v>
      </c>
      <c r="F75">
        <v>47</v>
      </c>
      <c r="G75">
        <v>77</v>
      </c>
      <c r="H75">
        <v>-6</v>
      </c>
      <c r="I75">
        <v>39</v>
      </c>
      <c r="J75">
        <v>34</v>
      </c>
      <c r="K75">
        <v>237</v>
      </c>
      <c r="L75">
        <v>29</v>
      </c>
      <c r="M75">
        <v>5</v>
      </c>
      <c r="N75">
        <v>79</v>
      </c>
    </row>
    <row r="76" spans="1:14" x14ac:dyDescent="0.35">
      <c r="A76" t="s">
        <v>166</v>
      </c>
      <c r="B76" t="s">
        <v>167</v>
      </c>
      <c r="C76" t="s">
        <v>41</v>
      </c>
      <c r="D76">
        <v>2018</v>
      </c>
      <c r="E76">
        <v>136</v>
      </c>
      <c r="F76">
        <v>73</v>
      </c>
      <c r="G76">
        <v>82</v>
      </c>
      <c r="H76">
        <v>-4</v>
      </c>
      <c r="I76">
        <v>37</v>
      </c>
      <c r="J76">
        <v>65</v>
      </c>
      <c r="K76">
        <v>253</v>
      </c>
      <c r="L76">
        <v>10</v>
      </c>
      <c r="M76">
        <v>13</v>
      </c>
      <c r="N76">
        <v>79</v>
      </c>
    </row>
    <row r="77" spans="1:14" x14ac:dyDescent="0.35">
      <c r="A77" t="s">
        <v>168</v>
      </c>
      <c r="B77" t="s">
        <v>34</v>
      </c>
      <c r="C77" t="s">
        <v>35</v>
      </c>
      <c r="D77">
        <v>2016</v>
      </c>
      <c r="E77">
        <v>144</v>
      </c>
      <c r="F77">
        <v>54</v>
      </c>
      <c r="G77">
        <v>56</v>
      </c>
      <c r="H77">
        <v>-5</v>
      </c>
      <c r="I77">
        <v>20</v>
      </c>
      <c r="J77">
        <v>29</v>
      </c>
      <c r="K77">
        <v>223</v>
      </c>
      <c r="L77">
        <v>7</v>
      </c>
      <c r="M77">
        <v>4</v>
      </c>
      <c r="N77">
        <v>79</v>
      </c>
    </row>
    <row r="78" spans="1:14" x14ac:dyDescent="0.35">
      <c r="A78" t="s">
        <v>169</v>
      </c>
      <c r="B78" t="s">
        <v>159</v>
      </c>
      <c r="C78" t="s">
        <v>41</v>
      </c>
      <c r="D78">
        <v>2016</v>
      </c>
      <c r="E78">
        <v>100</v>
      </c>
      <c r="F78">
        <v>56</v>
      </c>
      <c r="G78">
        <v>73</v>
      </c>
      <c r="H78">
        <v>-8</v>
      </c>
      <c r="I78">
        <v>18</v>
      </c>
      <c r="J78">
        <v>35</v>
      </c>
      <c r="K78">
        <v>218</v>
      </c>
      <c r="L78">
        <v>62</v>
      </c>
      <c r="M78">
        <v>13</v>
      </c>
      <c r="N78">
        <v>79</v>
      </c>
    </row>
    <row r="79" spans="1:14" x14ac:dyDescent="0.35">
      <c r="A79" t="s">
        <v>170</v>
      </c>
      <c r="B79" t="s">
        <v>15</v>
      </c>
      <c r="C79" t="s">
        <v>16</v>
      </c>
      <c r="D79">
        <v>2015</v>
      </c>
      <c r="E79">
        <v>108</v>
      </c>
      <c r="F79">
        <v>77</v>
      </c>
      <c r="G79">
        <v>71</v>
      </c>
      <c r="H79">
        <v>-6</v>
      </c>
      <c r="I79">
        <v>11</v>
      </c>
      <c r="J79">
        <v>58</v>
      </c>
      <c r="K79">
        <v>214</v>
      </c>
      <c r="L79">
        <v>11</v>
      </c>
      <c r="M79">
        <v>4</v>
      </c>
      <c r="N79">
        <v>79</v>
      </c>
    </row>
    <row r="80" spans="1:14" x14ac:dyDescent="0.35">
      <c r="A80" t="s">
        <v>171</v>
      </c>
      <c r="B80" t="s">
        <v>172</v>
      </c>
      <c r="C80" t="s">
        <v>173</v>
      </c>
      <c r="D80">
        <v>2019</v>
      </c>
      <c r="E80">
        <v>178</v>
      </c>
      <c r="F80">
        <v>80</v>
      </c>
      <c r="G80">
        <v>66</v>
      </c>
      <c r="H80">
        <v>-5</v>
      </c>
      <c r="I80">
        <v>7</v>
      </c>
      <c r="J80">
        <v>84</v>
      </c>
      <c r="K80">
        <v>229</v>
      </c>
      <c r="L80">
        <v>20</v>
      </c>
      <c r="M80">
        <v>15</v>
      </c>
      <c r="N80">
        <v>78</v>
      </c>
    </row>
    <row r="81" spans="1:14" x14ac:dyDescent="0.35">
      <c r="A81" t="s">
        <v>174</v>
      </c>
      <c r="B81" t="s">
        <v>34</v>
      </c>
      <c r="C81" t="s">
        <v>35</v>
      </c>
      <c r="D81">
        <v>2018</v>
      </c>
      <c r="E81">
        <v>140</v>
      </c>
      <c r="F81">
        <v>56</v>
      </c>
      <c r="G81">
        <v>75</v>
      </c>
      <c r="H81">
        <v>-8</v>
      </c>
      <c r="I81">
        <v>11</v>
      </c>
      <c r="J81">
        <v>46</v>
      </c>
      <c r="K81">
        <v>221</v>
      </c>
      <c r="L81">
        <v>55</v>
      </c>
      <c r="M81">
        <v>11</v>
      </c>
      <c r="N81">
        <v>78</v>
      </c>
    </row>
    <row r="82" spans="1:14" x14ac:dyDescent="0.35">
      <c r="A82" t="s">
        <v>175</v>
      </c>
      <c r="B82" t="s">
        <v>101</v>
      </c>
      <c r="C82" t="s">
        <v>81</v>
      </c>
      <c r="D82">
        <v>2015</v>
      </c>
      <c r="E82">
        <v>150</v>
      </c>
      <c r="F82">
        <v>75</v>
      </c>
      <c r="G82">
        <v>75</v>
      </c>
      <c r="H82">
        <v>-7</v>
      </c>
      <c r="I82">
        <v>5</v>
      </c>
      <c r="J82">
        <v>75</v>
      </c>
      <c r="K82">
        <v>207</v>
      </c>
      <c r="L82">
        <v>2</v>
      </c>
      <c r="M82">
        <v>7</v>
      </c>
      <c r="N82">
        <v>77</v>
      </c>
    </row>
    <row r="83" spans="1:14" x14ac:dyDescent="0.35">
      <c r="A83" t="s">
        <v>176</v>
      </c>
      <c r="B83" t="s">
        <v>80</v>
      </c>
      <c r="C83" t="s">
        <v>81</v>
      </c>
      <c r="D83">
        <v>2015</v>
      </c>
      <c r="E83">
        <v>125</v>
      </c>
      <c r="F83">
        <v>57</v>
      </c>
      <c r="G83">
        <v>85</v>
      </c>
      <c r="H83">
        <v>-8</v>
      </c>
      <c r="I83">
        <v>8</v>
      </c>
      <c r="J83">
        <v>79</v>
      </c>
      <c r="K83">
        <v>206</v>
      </c>
      <c r="L83">
        <v>59</v>
      </c>
      <c r="M83">
        <v>10</v>
      </c>
      <c r="N83">
        <v>77</v>
      </c>
    </row>
    <row r="84" spans="1:14" x14ac:dyDescent="0.35">
      <c r="A84" t="s">
        <v>177</v>
      </c>
      <c r="B84" t="s">
        <v>178</v>
      </c>
      <c r="C84" t="s">
        <v>179</v>
      </c>
      <c r="D84">
        <v>1995</v>
      </c>
      <c r="E84">
        <v>174</v>
      </c>
      <c r="F84">
        <v>90</v>
      </c>
      <c r="G84">
        <v>38</v>
      </c>
      <c r="H84">
        <v>-4</v>
      </c>
      <c r="I84">
        <v>19</v>
      </c>
      <c r="J84">
        <v>47</v>
      </c>
      <c r="K84">
        <v>259</v>
      </c>
      <c r="L84">
        <v>0</v>
      </c>
      <c r="M84">
        <v>4</v>
      </c>
      <c r="N84">
        <v>77</v>
      </c>
    </row>
    <row r="85" spans="1:14" x14ac:dyDescent="0.35">
      <c r="A85" t="s">
        <v>180</v>
      </c>
      <c r="B85" t="s">
        <v>28</v>
      </c>
      <c r="C85" t="s">
        <v>29</v>
      </c>
      <c r="D85">
        <v>2012</v>
      </c>
      <c r="E85">
        <v>136</v>
      </c>
      <c r="F85">
        <v>78</v>
      </c>
      <c r="G85">
        <v>45</v>
      </c>
      <c r="H85">
        <v>-4</v>
      </c>
      <c r="I85">
        <v>67</v>
      </c>
      <c r="J85">
        <v>24</v>
      </c>
      <c r="K85">
        <v>187</v>
      </c>
      <c r="L85">
        <v>11</v>
      </c>
      <c r="M85">
        <v>6</v>
      </c>
      <c r="N85">
        <v>76</v>
      </c>
    </row>
    <row r="86" spans="1:14" x14ac:dyDescent="0.35">
      <c r="A86" t="s">
        <v>181</v>
      </c>
      <c r="B86" t="s">
        <v>182</v>
      </c>
      <c r="C86" t="s">
        <v>32</v>
      </c>
      <c r="D86">
        <v>2018</v>
      </c>
      <c r="E86">
        <v>89</v>
      </c>
      <c r="F86">
        <v>68</v>
      </c>
      <c r="G86">
        <v>56</v>
      </c>
      <c r="H86">
        <v>-8</v>
      </c>
      <c r="I86">
        <v>12</v>
      </c>
      <c r="J86">
        <v>32</v>
      </c>
      <c r="K86">
        <v>174</v>
      </c>
      <c r="L86">
        <v>56</v>
      </c>
      <c r="M86">
        <v>32</v>
      </c>
      <c r="N86">
        <v>76</v>
      </c>
    </row>
    <row r="87" spans="1:14" x14ac:dyDescent="0.35">
      <c r="A87" t="s">
        <v>183</v>
      </c>
      <c r="B87" t="s">
        <v>184</v>
      </c>
      <c r="C87" t="s">
        <v>41</v>
      </c>
      <c r="D87">
        <v>2015</v>
      </c>
      <c r="E87">
        <v>118</v>
      </c>
      <c r="F87">
        <v>69</v>
      </c>
      <c r="G87">
        <v>78</v>
      </c>
      <c r="H87">
        <v>-6</v>
      </c>
      <c r="I87">
        <v>16</v>
      </c>
      <c r="J87">
        <v>60</v>
      </c>
      <c r="K87">
        <v>181</v>
      </c>
      <c r="L87">
        <v>17</v>
      </c>
      <c r="M87">
        <v>3</v>
      </c>
      <c r="N87">
        <v>76</v>
      </c>
    </row>
    <row r="88" spans="1:14" x14ac:dyDescent="0.35">
      <c r="A88" t="s">
        <v>185</v>
      </c>
      <c r="B88" t="s">
        <v>186</v>
      </c>
      <c r="C88" t="s">
        <v>187</v>
      </c>
      <c r="D88">
        <v>2016</v>
      </c>
      <c r="E88">
        <v>90</v>
      </c>
      <c r="F88">
        <v>70</v>
      </c>
      <c r="G88">
        <v>63</v>
      </c>
      <c r="H88">
        <v>-6</v>
      </c>
      <c r="I88">
        <v>9</v>
      </c>
      <c r="J88">
        <v>73</v>
      </c>
      <c r="K88">
        <v>212</v>
      </c>
      <c r="L88">
        <v>5</v>
      </c>
      <c r="M88">
        <v>11</v>
      </c>
      <c r="N88">
        <v>75</v>
      </c>
    </row>
    <row r="89" spans="1:14" x14ac:dyDescent="0.35">
      <c r="A89" t="s">
        <v>188</v>
      </c>
      <c r="B89" t="s">
        <v>38</v>
      </c>
      <c r="C89" t="s">
        <v>19</v>
      </c>
      <c r="D89">
        <v>2018</v>
      </c>
      <c r="E89">
        <v>125</v>
      </c>
      <c r="F89">
        <v>54</v>
      </c>
      <c r="G89">
        <v>85</v>
      </c>
      <c r="H89">
        <v>-7</v>
      </c>
      <c r="I89">
        <v>13</v>
      </c>
      <c r="J89">
        <v>45</v>
      </c>
      <c r="K89">
        <v>236</v>
      </c>
      <c r="L89">
        <v>57</v>
      </c>
      <c r="M89">
        <v>5</v>
      </c>
      <c r="N89">
        <v>74</v>
      </c>
    </row>
    <row r="90" spans="1:14" x14ac:dyDescent="0.35">
      <c r="A90" t="s">
        <v>189</v>
      </c>
      <c r="B90" t="s">
        <v>190</v>
      </c>
      <c r="C90" t="s">
        <v>191</v>
      </c>
      <c r="D90">
        <v>2015</v>
      </c>
      <c r="E90">
        <v>90</v>
      </c>
      <c r="F90">
        <v>65</v>
      </c>
      <c r="G90">
        <v>59</v>
      </c>
      <c r="H90">
        <v>-5</v>
      </c>
      <c r="I90">
        <v>11</v>
      </c>
      <c r="J90">
        <v>17</v>
      </c>
      <c r="K90">
        <v>213</v>
      </c>
      <c r="L90">
        <v>3</v>
      </c>
      <c r="M90">
        <v>3</v>
      </c>
      <c r="N90">
        <v>72</v>
      </c>
    </row>
    <row r="91" spans="1:14" x14ac:dyDescent="0.35">
      <c r="A91" t="s">
        <v>192</v>
      </c>
      <c r="B91" t="s">
        <v>193</v>
      </c>
      <c r="C91" t="s">
        <v>140</v>
      </c>
      <c r="D91">
        <v>2013</v>
      </c>
      <c r="E91">
        <v>76</v>
      </c>
      <c r="F91">
        <v>54</v>
      </c>
      <c r="G91">
        <v>45</v>
      </c>
      <c r="H91">
        <v>-7</v>
      </c>
      <c r="I91">
        <v>11</v>
      </c>
      <c r="J91">
        <v>22</v>
      </c>
      <c r="K91">
        <v>253</v>
      </c>
      <c r="L91">
        <v>36</v>
      </c>
      <c r="M91">
        <v>7</v>
      </c>
      <c r="N91">
        <v>72</v>
      </c>
    </row>
    <row r="92" spans="1:14" x14ac:dyDescent="0.35">
      <c r="A92" t="s">
        <v>194</v>
      </c>
      <c r="B92" t="s">
        <v>195</v>
      </c>
      <c r="C92" t="s">
        <v>41</v>
      </c>
      <c r="D92">
        <v>2016</v>
      </c>
      <c r="E92">
        <v>113</v>
      </c>
      <c r="F92">
        <v>83</v>
      </c>
      <c r="G92">
        <v>67</v>
      </c>
      <c r="H92">
        <v>-6</v>
      </c>
      <c r="I92">
        <v>10</v>
      </c>
      <c r="J92">
        <v>70</v>
      </c>
      <c r="K92">
        <v>238</v>
      </c>
      <c r="L92">
        <v>1</v>
      </c>
      <c r="M92">
        <v>7</v>
      </c>
      <c r="N92">
        <v>72</v>
      </c>
    </row>
    <row r="93" spans="1:14" x14ac:dyDescent="0.35">
      <c r="A93" t="s">
        <v>196</v>
      </c>
      <c r="B93" t="s">
        <v>197</v>
      </c>
      <c r="C93" t="s">
        <v>41</v>
      </c>
      <c r="D93">
        <v>2015</v>
      </c>
      <c r="E93">
        <v>98</v>
      </c>
      <c r="F93">
        <v>81</v>
      </c>
      <c r="G93">
        <v>72</v>
      </c>
      <c r="H93">
        <v>-3</v>
      </c>
      <c r="I93">
        <v>56</v>
      </c>
      <c r="J93">
        <v>27</v>
      </c>
      <c r="K93">
        <v>177</v>
      </c>
      <c r="L93">
        <v>0</v>
      </c>
      <c r="M93">
        <v>6</v>
      </c>
      <c r="N93">
        <v>71</v>
      </c>
    </row>
    <row r="94" spans="1:14" x14ac:dyDescent="0.35">
      <c r="A94" t="s">
        <v>198</v>
      </c>
      <c r="B94" t="s">
        <v>172</v>
      </c>
      <c r="C94" t="s">
        <v>173</v>
      </c>
      <c r="D94">
        <v>2019</v>
      </c>
      <c r="E94">
        <v>178</v>
      </c>
      <c r="F94">
        <v>80</v>
      </c>
      <c r="G94">
        <v>65</v>
      </c>
      <c r="H94">
        <v>-4</v>
      </c>
      <c r="I94">
        <v>7</v>
      </c>
      <c r="J94">
        <v>86</v>
      </c>
      <c r="K94">
        <v>230</v>
      </c>
      <c r="L94">
        <v>23</v>
      </c>
      <c r="M94">
        <v>18</v>
      </c>
      <c r="N94">
        <v>70</v>
      </c>
    </row>
    <row r="95" spans="1:14" x14ac:dyDescent="0.35">
      <c r="A95" t="s">
        <v>199</v>
      </c>
      <c r="B95" t="s">
        <v>200</v>
      </c>
      <c r="C95" t="s">
        <v>201</v>
      </c>
      <c r="D95">
        <v>2014</v>
      </c>
      <c r="E95">
        <v>171</v>
      </c>
      <c r="F95">
        <v>74</v>
      </c>
      <c r="G95">
        <v>69</v>
      </c>
      <c r="H95">
        <v>-5</v>
      </c>
      <c r="I95">
        <v>37</v>
      </c>
      <c r="J95">
        <v>6</v>
      </c>
      <c r="K95">
        <v>321</v>
      </c>
      <c r="L95">
        <v>1</v>
      </c>
      <c r="M95">
        <v>27</v>
      </c>
      <c r="N95">
        <v>70</v>
      </c>
    </row>
    <row r="96" spans="1:14" x14ac:dyDescent="0.35">
      <c r="A96" t="s">
        <v>202</v>
      </c>
      <c r="B96" t="s">
        <v>203</v>
      </c>
      <c r="C96" t="s">
        <v>41</v>
      </c>
      <c r="D96">
        <v>2019</v>
      </c>
      <c r="E96">
        <v>136</v>
      </c>
      <c r="F96">
        <v>51</v>
      </c>
      <c r="G96">
        <v>74</v>
      </c>
      <c r="H96">
        <v>-6</v>
      </c>
      <c r="I96">
        <v>18</v>
      </c>
      <c r="J96">
        <v>45</v>
      </c>
      <c r="K96">
        <v>229</v>
      </c>
      <c r="L96">
        <v>36</v>
      </c>
      <c r="M96">
        <v>7</v>
      </c>
      <c r="N96">
        <v>67</v>
      </c>
    </row>
    <row r="97" spans="1:14" x14ac:dyDescent="0.35">
      <c r="A97" t="s">
        <v>204</v>
      </c>
      <c r="B97" t="s">
        <v>103</v>
      </c>
      <c r="C97" t="s">
        <v>104</v>
      </c>
      <c r="D97">
        <v>2016</v>
      </c>
      <c r="E97">
        <v>104</v>
      </c>
      <c r="F97">
        <v>61</v>
      </c>
      <c r="G97">
        <v>79</v>
      </c>
      <c r="H97">
        <v>-6</v>
      </c>
      <c r="I97">
        <v>32</v>
      </c>
      <c r="J97">
        <v>43</v>
      </c>
      <c r="K97">
        <v>174</v>
      </c>
      <c r="L97">
        <v>1</v>
      </c>
      <c r="M97">
        <v>6</v>
      </c>
      <c r="N97">
        <v>66</v>
      </c>
    </row>
    <row r="98" spans="1:14" x14ac:dyDescent="0.35">
      <c r="A98" t="s">
        <v>205</v>
      </c>
      <c r="B98" t="s">
        <v>38</v>
      </c>
      <c r="C98" t="s">
        <v>19</v>
      </c>
      <c r="D98">
        <v>2015</v>
      </c>
      <c r="E98">
        <v>120</v>
      </c>
      <c r="F98">
        <v>79</v>
      </c>
      <c r="G98">
        <v>75</v>
      </c>
      <c r="H98">
        <v>-7</v>
      </c>
      <c r="I98">
        <v>9</v>
      </c>
      <c r="J98">
        <v>88</v>
      </c>
      <c r="K98">
        <v>235</v>
      </c>
      <c r="L98">
        <v>6</v>
      </c>
      <c r="M98">
        <v>3</v>
      </c>
      <c r="N98">
        <v>66</v>
      </c>
    </row>
    <row r="99" spans="1:14" x14ac:dyDescent="0.35">
      <c r="A99" t="s">
        <v>206</v>
      </c>
      <c r="B99" t="s">
        <v>207</v>
      </c>
      <c r="C99" t="s">
        <v>208</v>
      </c>
      <c r="D99">
        <v>2021</v>
      </c>
      <c r="E99">
        <v>126</v>
      </c>
      <c r="F99">
        <v>83</v>
      </c>
      <c r="G99">
        <v>66</v>
      </c>
      <c r="H99">
        <v>-5</v>
      </c>
      <c r="I99">
        <v>40</v>
      </c>
      <c r="J99">
        <v>74</v>
      </c>
      <c r="K99">
        <v>172</v>
      </c>
      <c r="L99">
        <v>5</v>
      </c>
      <c r="M99">
        <v>29</v>
      </c>
      <c r="N99">
        <v>66</v>
      </c>
    </row>
    <row r="100" spans="1:14" x14ac:dyDescent="0.35">
      <c r="A100" t="s">
        <v>209</v>
      </c>
      <c r="B100" t="s">
        <v>197</v>
      </c>
      <c r="C100" t="s">
        <v>41</v>
      </c>
      <c r="D100">
        <v>2018</v>
      </c>
      <c r="E100">
        <v>93</v>
      </c>
      <c r="F100">
        <v>80</v>
      </c>
      <c r="G100">
        <v>61</v>
      </c>
      <c r="H100">
        <v>-5</v>
      </c>
      <c r="I100">
        <v>16</v>
      </c>
      <c r="J100">
        <v>50</v>
      </c>
      <c r="K100">
        <v>185</v>
      </c>
      <c r="L100">
        <v>7</v>
      </c>
      <c r="M100">
        <v>4</v>
      </c>
      <c r="N100">
        <v>56</v>
      </c>
    </row>
    <row r="101" spans="1:14" x14ac:dyDescent="0.35">
      <c r="A101" t="s">
        <v>210</v>
      </c>
      <c r="B101" t="s">
        <v>211</v>
      </c>
      <c r="C101" t="s">
        <v>41</v>
      </c>
      <c r="D101">
        <v>2016</v>
      </c>
      <c r="E101">
        <v>102</v>
      </c>
      <c r="F101">
        <v>73</v>
      </c>
      <c r="G101">
        <v>67</v>
      </c>
      <c r="H101">
        <v>-7</v>
      </c>
      <c r="I101">
        <v>9</v>
      </c>
      <c r="J101">
        <v>66</v>
      </c>
      <c r="K101">
        <v>198</v>
      </c>
      <c r="L101">
        <v>3</v>
      </c>
      <c r="M101">
        <v>10</v>
      </c>
      <c r="N101">
        <v>53</v>
      </c>
    </row>
  </sheetData>
  <pageMargins left="0.70000000000000007" right="0.70000000000000007" top="0.75" bottom="0.75" header="0.30000000000000004" footer="0.30000000000000004"/>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4E4D2-396E-491B-A489-52605E783CC6}">
  <dimension ref="A3:G30"/>
  <sheetViews>
    <sheetView workbookViewId="0"/>
  </sheetViews>
  <sheetFormatPr defaultRowHeight="14.5" x14ac:dyDescent="0.35"/>
  <cols>
    <col min="1" max="1" width="10.08984375" bestFit="1" customWidth="1"/>
    <col min="2" max="2" width="14.6328125" bestFit="1" customWidth="1"/>
    <col min="3" max="3" width="19.54296875" bestFit="1" customWidth="1"/>
    <col min="4" max="4" width="16.1796875" bestFit="1" customWidth="1"/>
    <col min="5" max="5" width="15.90625" bestFit="1" customWidth="1"/>
    <col min="6" max="6" width="20.54296875" bestFit="1" customWidth="1"/>
    <col min="7" max="7" width="19.90625" bestFit="1" customWidth="1"/>
    <col min="8" max="51" width="2.81640625" bestFit="1" customWidth="1"/>
    <col min="52" max="52" width="10.08984375" bestFit="1" customWidth="1"/>
    <col min="53" max="53" width="8.7265625" customWidth="1"/>
  </cols>
  <sheetData>
    <row r="3" spans="1:7" x14ac:dyDescent="0.35">
      <c r="A3" s="1" t="s">
        <v>212</v>
      </c>
      <c r="B3" s="1" t="s">
        <v>213</v>
      </c>
      <c r="C3" s="2" t="s">
        <v>214</v>
      </c>
      <c r="D3" s="2" t="s">
        <v>215</v>
      </c>
      <c r="E3" s="2" t="s">
        <v>216</v>
      </c>
      <c r="F3" s="2" t="s">
        <v>217</v>
      </c>
      <c r="G3" s="3" t="s">
        <v>218</v>
      </c>
    </row>
    <row r="4" spans="1:7" x14ac:dyDescent="0.35">
      <c r="A4" s="4" t="s">
        <v>219</v>
      </c>
      <c r="B4" s="1">
        <v>40</v>
      </c>
      <c r="C4" s="2">
        <v>41</v>
      </c>
      <c r="D4" s="2">
        <v>30</v>
      </c>
      <c r="E4" s="2">
        <v>22</v>
      </c>
      <c r="F4" s="2">
        <v>27</v>
      </c>
      <c r="G4" s="3">
        <v>5</v>
      </c>
    </row>
    <row r="5" spans="1:7" x14ac:dyDescent="0.35">
      <c r="A5" s="5" t="s">
        <v>220</v>
      </c>
      <c r="B5" s="6">
        <v>90.5</v>
      </c>
      <c r="C5" s="7">
        <v>36.5</v>
      </c>
      <c r="D5" s="7">
        <v>14.5</v>
      </c>
      <c r="E5" s="7">
        <v>35.5</v>
      </c>
      <c r="F5" s="8">
        <v>0</v>
      </c>
      <c r="G5" s="9">
        <v>5.5</v>
      </c>
    </row>
    <row r="6" spans="1:7" x14ac:dyDescent="0.35">
      <c r="A6" s="5" t="s">
        <v>221</v>
      </c>
      <c r="B6" s="10">
        <v>61</v>
      </c>
      <c r="C6" s="7">
        <v>56.428571428571431</v>
      </c>
      <c r="D6" s="7">
        <v>19.214285714285715</v>
      </c>
      <c r="E6" s="7">
        <v>42.071428571428569</v>
      </c>
      <c r="F6" s="7">
        <v>35.857142857142854</v>
      </c>
      <c r="G6" s="9">
        <v>6.3571428571428568</v>
      </c>
    </row>
    <row r="7" spans="1:7" x14ac:dyDescent="0.35">
      <c r="A7" s="11" t="s">
        <v>222</v>
      </c>
      <c r="B7" s="12">
        <v>62.566265060240966</v>
      </c>
      <c r="C7" s="13">
        <v>69.783132530120483</v>
      </c>
      <c r="D7" s="13">
        <v>16.361445783132531</v>
      </c>
      <c r="E7" s="13">
        <v>51.987951807228917</v>
      </c>
      <c r="F7" s="13">
        <v>23.686746987951807</v>
      </c>
      <c r="G7" s="14">
        <v>10.698795180722891</v>
      </c>
    </row>
    <row r="10" spans="1:7" x14ac:dyDescent="0.35">
      <c r="A10" s="1" t="s">
        <v>3</v>
      </c>
      <c r="B10" s="15" t="s">
        <v>223</v>
      </c>
    </row>
    <row r="11" spans="1:7" x14ac:dyDescent="0.35">
      <c r="A11" s="1" t="s">
        <v>219</v>
      </c>
      <c r="B11" s="15">
        <v>71</v>
      </c>
    </row>
    <row r="12" spans="1:7" x14ac:dyDescent="0.35">
      <c r="A12" s="10" t="s">
        <v>220</v>
      </c>
      <c r="B12" s="16">
        <v>161</v>
      </c>
    </row>
    <row r="13" spans="1:7" x14ac:dyDescent="0.35">
      <c r="A13" s="10" t="s">
        <v>221</v>
      </c>
      <c r="B13" s="16">
        <v>117</v>
      </c>
    </row>
    <row r="14" spans="1:7" x14ac:dyDescent="0.35">
      <c r="A14" s="17" t="s">
        <v>222</v>
      </c>
      <c r="B14" s="18">
        <v>116.4578313253012</v>
      </c>
    </row>
    <row r="18" spans="1:2" x14ac:dyDescent="0.35">
      <c r="A18" s="1" t="s">
        <v>3</v>
      </c>
      <c r="B18" s="15" t="s">
        <v>224</v>
      </c>
    </row>
    <row r="19" spans="1:2" x14ac:dyDescent="0.35">
      <c r="A19" s="1" t="s">
        <v>219</v>
      </c>
      <c r="B19" s="15">
        <v>-10</v>
      </c>
    </row>
    <row r="20" spans="1:2" x14ac:dyDescent="0.35">
      <c r="A20" s="10" t="s">
        <v>220</v>
      </c>
      <c r="B20" s="19">
        <v>-4.5</v>
      </c>
    </row>
    <row r="21" spans="1:2" x14ac:dyDescent="0.35">
      <c r="A21" s="10" t="s">
        <v>221</v>
      </c>
      <c r="B21" s="19">
        <v>-5.9285714285714288</v>
      </c>
    </row>
    <row r="22" spans="1:2" x14ac:dyDescent="0.35">
      <c r="A22" s="17" t="s">
        <v>222</v>
      </c>
      <c r="B22" s="18">
        <v>-6.1204819277108431</v>
      </c>
    </row>
    <row r="25" spans="1:2" x14ac:dyDescent="0.35">
      <c r="A25" s="1" t="s">
        <v>3</v>
      </c>
      <c r="B25" s="15" t="s">
        <v>225</v>
      </c>
    </row>
    <row r="26" spans="1:2" x14ac:dyDescent="0.35">
      <c r="A26" s="1" t="s">
        <v>219</v>
      </c>
      <c r="B26" s="15">
        <v>354</v>
      </c>
    </row>
    <row r="27" spans="1:2" x14ac:dyDescent="0.35">
      <c r="A27" s="10" t="s">
        <v>220</v>
      </c>
      <c r="B27" s="16">
        <v>241</v>
      </c>
    </row>
    <row r="28" spans="1:2" x14ac:dyDescent="0.35">
      <c r="A28" s="10" t="s">
        <v>221</v>
      </c>
      <c r="B28" s="19">
        <v>240.92857142857142</v>
      </c>
    </row>
    <row r="29" spans="1:2" x14ac:dyDescent="0.35">
      <c r="A29" s="10" t="s">
        <v>222</v>
      </c>
      <c r="B29" s="19">
        <v>207.75903614457832</v>
      </c>
    </row>
    <row r="30" spans="1:2" x14ac:dyDescent="0.35">
      <c r="A30" s="20" t="s">
        <v>226</v>
      </c>
      <c r="B30" s="21">
        <v>214.53</v>
      </c>
    </row>
  </sheetData>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1390F-1F5B-4231-BB5E-1AC524A2D1DD}">
  <dimension ref="A1"/>
  <sheetViews>
    <sheetView workbookViewId="0"/>
  </sheetViews>
  <sheetFormatPr defaultRowHeight="14.5" x14ac:dyDescent="0.35"/>
  <cols>
    <col min="1" max="4" width="8.7265625" style="22" customWidth="1"/>
    <col min="5" max="5" width="9.08984375" style="22" customWidth="1"/>
    <col min="6" max="6" width="8.7265625" style="22" customWidth="1"/>
    <col min="7" max="16384" width="8.7265625" style="22"/>
  </cols>
  <sheetData/>
  <pageMargins left="0.70000000000000007" right="0.70000000000000007" top="0.75" bottom="0.75" header="0.30000000000000004" footer="0.30000000000000004"/>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Top_100_most_Streamed_-_Sheet1</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Ralph Adu-Twum</dc:creator>
  <cp:lastModifiedBy>Ralph Adu-Twum</cp:lastModifiedBy>
  <dcterms:created xsi:type="dcterms:W3CDTF">2026-02-20T18:21:52Z</dcterms:created>
  <dcterms:modified xsi:type="dcterms:W3CDTF">2026-03-30T17:00:26Z</dcterms:modified>
</cp:coreProperties>
</file>